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f Ali\Desktop\"/>
    </mc:Choice>
  </mc:AlternateContent>
  <xr:revisionPtr revIDLastSave="0" documentId="8_{48ABAF8D-4E14-4CF7-B94A-4978F3E002F4}" xr6:coauthVersionLast="47" xr6:coauthVersionMax="47" xr10:uidLastSave="{00000000-0000-0000-0000-000000000000}"/>
  <bookViews>
    <workbookView xWindow="29910" yWindow="2265" windowWidth="21555" windowHeight="11295" xr2:uid="{00000000-000D-0000-FFFF-FFFF00000000}"/>
  </bookViews>
  <sheets>
    <sheet name="Sheet1" sheetId="1" r:id="rId1"/>
    <sheet name="Sheet2" sheetId="2" state="hidden" r:id="rId2"/>
    <sheet name="Sheet3" sheetId="3" state="hidden" r:id="rId3"/>
  </sheets>
  <definedNames>
    <definedName name="LOAN">Sheet1!$B$5:$B$5</definedName>
    <definedName name="LOAN2">Sheet1!$E$5</definedName>
    <definedName name="RATE">Sheet1!$B$7:$B$7</definedName>
    <definedName name="RATE2">Sheet1!$E$7</definedName>
    <definedName name="TERM">Sheet1!$B$10:$B$10</definedName>
    <definedName name="TERM2">Sheet1!$E$10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C28" i="1"/>
  <c r="E12" i="1"/>
  <c r="J28" i="1"/>
  <c r="M28" i="1" s="1"/>
  <c r="D20" i="1" l="1"/>
  <c r="B28" i="1"/>
  <c r="E28" i="1" s="1"/>
  <c r="I28" i="1"/>
  <c r="L28" i="1" s="1"/>
  <c r="F28" i="1"/>
  <c r="K28" i="1" l="1"/>
  <c r="J29" i="1" s="1"/>
  <c r="M29" i="1" s="1"/>
  <c r="D28" i="1"/>
  <c r="C29" i="1" s="1"/>
  <c r="B29" i="1" s="1"/>
  <c r="E29" i="1" s="1"/>
  <c r="D29" i="1" l="1"/>
  <c r="C30" i="1" s="1"/>
  <c r="B30" i="1" s="1"/>
  <c r="F29" i="1"/>
  <c r="I29" i="1"/>
  <c r="K29" i="1" s="1"/>
  <c r="J30" i="1" s="1"/>
  <c r="M30" i="1" s="1"/>
  <c r="L29" i="1" l="1"/>
  <c r="I30" i="1"/>
  <c r="D30" i="1"/>
  <c r="E30" i="1"/>
  <c r="F30" i="1"/>
  <c r="L30" i="1" l="1"/>
  <c r="K30" i="1"/>
  <c r="J31" i="1" s="1"/>
  <c r="C31" i="1"/>
  <c r="F31" i="1" s="1"/>
  <c r="M31" i="1" l="1"/>
  <c r="I31" i="1"/>
  <c r="L31" i="1" s="1"/>
  <c r="B31" i="1"/>
  <c r="K31" i="1" l="1"/>
  <c r="J32" i="1" s="1"/>
  <c r="M32" i="1" s="1"/>
  <c r="D31" i="1"/>
  <c r="E31" i="1"/>
  <c r="I32" i="1" l="1"/>
  <c r="C32" i="1"/>
  <c r="F32" i="1" s="1"/>
  <c r="B32" i="1" l="1"/>
  <c r="L32" i="1"/>
  <c r="K32" i="1"/>
  <c r="J33" i="1" l="1"/>
  <c r="I33" i="1" s="1"/>
  <c r="E32" i="1"/>
  <c r="D32" i="1"/>
  <c r="K33" i="1" l="1"/>
  <c r="L33" i="1"/>
  <c r="C33" i="1"/>
  <c r="B33" i="1" s="1"/>
  <c r="E33" i="1" s="1"/>
  <c r="M33" i="1"/>
  <c r="F33" i="1" l="1"/>
  <c r="D33" i="1"/>
  <c r="C34" i="1" s="1"/>
  <c r="B34" i="1" s="1"/>
  <c r="E34" i="1" s="1"/>
  <c r="J34" i="1"/>
  <c r="I34" i="1" s="1"/>
  <c r="F34" i="1" l="1"/>
  <c r="K34" i="1"/>
  <c r="J35" i="1" s="1"/>
  <c r="I35" i="1" s="1"/>
  <c r="L34" i="1"/>
  <c r="M34" i="1"/>
  <c r="D34" i="1"/>
  <c r="K35" i="1" l="1"/>
  <c r="L35" i="1"/>
  <c r="C35" i="1"/>
  <c r="F35" i="1" s="1"/>
  <c r="M35" i="1"/>
  <c r="B35" i="1" l="1"/>
  <c r="J36" i="1"/>
  <c r="M36" i="1" s="1"/>
  <c r="I36" i="1" l="1"/>
  <c r="D35" i="1"/>
  <c r="E35" i="1"/>
  <c r="C36" i="1" l="1"/>
  <c r="B36" i="1" s="1"/>
  <c r="L36" i="1"/>
  <c r="K36" i="1"/>
  <c r="E36" i="1" l="1"/>
  <c r="D36" i="1"/>
  <c r="J37" i="1"/>
  <c r="I37" i="1" s="1"/>
  <c r="F36" i="1"/>
  <c r="K37" i="1" l="1"/>
  <c r="L37" i="1"/>
  <c r="M37" i="1"/>
  <c r="C37" i="1"/>
  <c r="F37" i="1" s="1"/>
  <c r="B37" i="1" l="1"/>
  <c r="D37" i="1" s="1"/>
  <c r="C38" i="1" s="1"/>
  <c r="F38" i="1" s="1"/>
  <c r="J38" i="1"/>
  <c r="I38" i="1" s="1"/>
  <c r="L38" i="1" s="1"/>
  <c r="E37" i="1" l="1"/>
  <c r="B38" i="1"/>
  <c r="D38" i="1" s="1"/>
  <c r="C39" i="1" s="1"/>
  <c r="F39" i="1" s="1"/>
  <c r="M38" i="1"/>
  <c r="K38" i="1"/>
  <c r="E38" i="1" l="1"/>
  <c r="B39" i="1"/>
  <c r="J39" i="1"/>
  <c r="M39" i="1" s="1"/>
  <c r="E39" i="1" l="1"/>
  <c r="D39" i="1"/>
  <c r="C40" i="1" s="1"/>
  <c r="F40" i="1" s="1"/>
  <c r="I39" i="1"/>
  <c r="K39" i="1" l="1"/>
  <c r="L39" i="1"/>
  <c r="B40" i="1"/>
  <c r="D40" i="1" l="1"/>
  <c r="E40" i="1"/>
  <c r="J40" i="1"/>
  <c r="M40" i="1" s="1"/>
  <c r="I40" i="1" l="1"/>
  <c r="C41" i="1"/>
  <c r="F41" i="1" s="1"/>
  <c r="B41" i="1" l="1"/>
  <c r="L40" i="1"/>
  <c r="K40" i="1"/>
  <c r="J41" i="1" l="1"/>
  <c r="M41" i="1" s="1"/>
  <c r="D41" i="1"/>
  <c r="E41" i="1"/>
  <c r="C42" i="1" l="1"/>
  <c r="B42" i="1" s="1"/>
  <c r="I41" i="1"/>
  <c r="D42" i="1" l="1"/>
  <c r="E42" i="1"/>
  <c r="K41" i="1"/>
  <c r="L41" i="1"/>
  <c r="F42" i="1"/>
  <c r="C43" i="1" l="1"/>
  <c r="B43" i="1" s="1"/>
  <c r="E43" i="1" s="1"/>
  <c r="J42" i="1"/>
  <c r="I42" i="1" s="1"/>
  <c r="K42" i="1" s="1"/>
  <c r="F43" i="1" l="1"/>
  <c r="M42" i="1"/>
  <c r="J43" i="1"/>
  <c r="I43" i="1" s="1"/>
  <c r="K43" i="1" s="1"/>
  <c r="L42" i="1"/>
  <c r="D43" i="1"/>
  <c r="M43" i="1" l="1"/>
  <c r="L43" i="1"/>
  <c r="C44" i="1"/>
  <c r="B44" i="1" s="1"/>
  <c r="J44" i="1"/>
  <c r="M44" i="1" s="1"/>
  <c r="D44" i="1" l="1"/>
  <c r="E44" i="1"/>
  <c r="I44" i="1"/>
  <c r="F44" i="1"/>
  <c r="L44" i="1" l="1"/>
  <c r="K44" i="1"/>
  <c r="C45" i="1"/>
  <c r="F45" i="1" s="1"/>
  <c r="B45" i="1" l="1"/>
  <c r="E45" i="1" s="1"/>
  <c r="J45" i="1"/>
  <c r="M45" i="1" s="1"/>
  <c r="I45" i="1" l="1"/>
  <c r="K45" i="1" s="1"/>
  <c r="D45" i="1"/>
  <c r="C46" i="1" s="1"/>
  <c r="F46" i="1" s="1"/>
  <c r="J46" i="1"/>
  <c r="I46" i="1" s="1"/>
  <c r="L45" i="1" l="1"/>
  <c r="L46" i="1" s="1"/>
  <c r="B46" i="1"/>
  <c r="D46" i="1" s="1"/>
  <c r="C47" i="1" s="1"/>
  <c r="F47" i="1" s="1"/>
  <c r="K46" i="1"/>
  <c r="M46" i="1"/>
  <c r="E46" i="1" l="1"/>
  <c r="B47" i="1"/>
  <c r="J47" i="1"/>
  <c r="I47" i="1" s="1"/>
  <c r="D47" i="1" l="1"/>
  <c r="E47" i="1"/>
  <c r="L47" i="1"/>
  <c r="K47" i="1"/>
  <c r="M47" i="1"/>
  <c r="C48" i="1" l="1"/>
  <c r="B48" i="1" s="1"/>
  <c r="J48" i="1"/>
  <c r="I48" i="1" s="1"/>
  <c r="D48" i="1" l="1"/>
  <c r="E48" i="1"/>
  <c r="F48" i="1"/>
  <c r="K48" i="1"/>
  <c r="L48" i="1"/>
  <c r="M48" i="1"/>
  <c r="C49" i="1" l="1"/>
  <c r="B49" i="1" s="1"/>
  <c r="D49" i="1" s="1"/>
  <c r="J49" i="1"/>
  <c r="M49" i="1" s="1"/>
  <c r="F49" i="1" l="1"/>
  <c r="E49" i="1"/>
  <c r="I49" i="1"/>
  <c r="C50" i="1"/>
  <c r="B50" i="1" s="1"/>
  <c r="E50" i="1" s="1"/>
  <c r="D50" i="1" l="1"/>
  <c r="C51" i="1" s="1"/>
  <c r="B51" i="1" s="1"/>
  <c r="E51" i="1" s="1"/>
  <c r="F50" i="1"/>
  <c r="L49" i="1"/>
  <c r="K49" i="1"/>
  <c r="J50" i="1" s="1"/>
  <c r="M50" i="1" s="1"/>
  <c r="I50" i="1" l="1"/>
  <c r="K50" i="1" s="1"/>
  <c r="F51" i="1"/>
  <c r="D51" i="1"/>
  <c r="C52" i="1" s="1"/>
  <c r="B52" i="1" s="1"/>
  <c r="D52" i="1" s="1"/>
  <c r="L50" i="1" l="1"/>
  <c r="E52" i="1"/>
  <c r="F52" i="1"/>
  <c r="C53" i="1"/>
  <c r="J51" i="1"/>
  <c r="M51" i="1" s="1"/>
  <c r="F53" i="1" l="1"/>
  <c r="B53" i="1"/>
  <c r="E53" i="1" s="1"/>
  <c r="I51" i="1"/>
  <c r="D53" i="1" l="1"/>
  <c r="C54" i="1" s="1"/>
  <c r="F54" i="1" s="1"/>
  <c r="L51" i="1"/>
  <c r="K51" i="1"/>
  <c r="J52" i="1" s="1"/>
  <c r="M52" i="1" s="1"/>
  <c r="B54" i="1" l="1"/>
  <c r="E54" i="1" s="1"/>
  <c r="I52" i="1"/>
  <c r="K52" i="1" s="1"/>
  <c r="D54" i="1" l="1"/>
  <c r="C55" i="1" s="1"/>
  <c r="F55" i="1" s="1"/>
  <c r="L52" i="1"/>
  <c r="J53" i="1"/>
  <c r="M53" i="1" s="1"/>
  <c r="I53" i="1" l="1"/>
  <c r="B55" i="1"/>
  <c r="D55" i="1" l="1"/>
  <c r="E55" i="1"/>
  <c r="K53" i="1"/>
  <c r="L53" i="1"/>
  <c r="J54" i="1" l="1"/>
  <c r="I54" i="1" s="1"/>
  <c r="C56" i="1"/>
  <c r="B56" i="1" s="1"/>
  <c r="D56" i="1" l="1"/>
  <c r="C57" i="1" s="1"/>
  <c r="E56" i="1"/>
  <c r="F56" i="1"/>
  <c r="M54" i="1"/>
  <c r="K54" i="1"/>
  <c r="L54" i="1"/>
  <c r="F57" i="1" l="1"/>
  <c r="B57" i="1"/>
  <c r="D57" i="1" s="1"/>
  <c r="C58" i="1" s="1"/>
  <c r="B58" i="1" s="1"/>
  <c r="J55" i="1"/>
  <c r="M55" i="1" s="1"/>
  <c r="E57" i="1" l="1"/>
  <c r="I55" i="1"/>
  <c r="L55" i="1" s="1"/>
  <c r="E58" i="1"/>
  <c r="D58" i="1"/>
  <c r="C59" i="1" s="1"/>
  <c r="F58" i="1"/>
  <c r="K55" i="1" l="1"/>
  <c r="J56" i="1" s="1"/>
  <c r="M56" i="1" s="1"/>
  <c r="F59" i="1"/>
  <c r="B59" i="1"/>
  <c r="I56" i="1" l="1"/>
  <c r="D59" i="1"/>
  <c r="E59" i="1"/>
  <c r="L56" i="1" l="1"/>
  <c r="K56" i="1"/>
  <c r="C60" i="1"/>
  <c r="B60" i="1" s="1"/>
  <c r="J57" i="1" l="1"/>
  <c r="M57" i="1" s="1"/>
  <c r="E60" i="1"/>
  <c r="D60" i="1"/>
  <c r="F60" i="1"/>
  <c r="I57" i="1" l="1"/>
  <c r="K57" i="1" s="1"/>
  <c r="J58" i="1" s="1"/>
  <c r="L57" i="1"/>
  <c r="C61" i="1"/>
  <c r="F61" i="1" s="1"/>
  <c r="I58" i="1" l="1"/>
  <c r="K58" i="1" s="1"/>
  <c r="M58" i="1"/>
  <c r="L58" i="1"/>
  <c r="B61" i="1"/>
  <c r="J59" i="1" l="1"/>
  <c r="M59" i="1" s="1"/>
  <c r="I59" i="1"/>
  <c r="K59" i="1" s="1"/>
  <c r="D61" i="1"/>
  <c r="E61" i="1"/>
  <c r="L59" i="1" l="1"/>
  <c r="J60" i="1"/>
  <c r="M60" i="1" s="1"/>
  <c r="C62" i="1"/>
  <c r="F62" i="1" s="1"/>
  <c r="I60" i="1" l="1"/>
  <c r="K60" i="1" s="1"/>
  <c r="J61" i="1" s="1"/>
  <c r="M61" i="1" s="1"/>
  <c r="B62" i="1"/>
  <c r="L60" i="1" l="1"/>
  <c r="I61" i="1"/>
  <c r="K61" i="1" s="1"/>
  <c r="J62" i="1" s="1"/>
  <c r="I62" i="1" s="1"/>
  <c r="K62" i="1" s="1"/>
  <c r="D62" i="1"/>
  <c r="E62" i="1"/>
  <c r="L61" i="1" l="1"/>
  <c r="M62" i="1"/>
  <c r="L62" i="1"/>
  <c r="C63" i="1"/>
  <c r="F63" i="1" s="1"/>
  <c r="J63" i="1"/>
  <c r="M63" i="1" l="1"/>
  <c r="B63" i="1"/>
  <c r="I63" i="1"/>
  <c r="D63" i="1" l="1"/>
  <c r="E63" i="1"/>
  <c r="L63" i="1"/>
  <c r="K63" i="1"/>
  <c r="C64" i="1" l="1"/>
  <c r="B64" i="1" s="1"/>
  <c r="J64" i="1"/>
  <c r="I64" i="1" s="1"/>
  <c r="F64" i="1" l="1"/>
  <c r="D64" i="1"/>
  <c r="E64" i="1"/>
  <c r="L64" i="1"/>
  <c r="K64" i="1"/>
  <c r="M64" i="1"/>
  <c r="C65" i="1" l="1"/>
  <c r="B65" i="1" s="1"/>
  <c r="J65" i="1"/>
  <c r="I65" i="1" s="1"/>
  <c r="F65" i="1" l="1"/>
  <c r="E65" i="1"/>
  <c r="D65" i="1"/>
  <c r="K65" i="1"/>
  <c r="L65" i="1"/>
  <c r="M65" i="1"/>
  <c r="C66" i="1" l="1"/>
  <c r="F66" i="1" s="1"/>
  <c r="J66" i="1"/>
  <c r="I66" i="1" s="1"/>
  <c r="B66" i="1" l="1"/>
  <c r="D66" i="1" s="1"/>
  <c r="C67" i="1" s="1"/>
  <c r="B67" i="1" s="1"/>
  <c r="L66" i="1"/>
  <c r="K66" i="1"/>
  <c r="M66" i="1"/>
  <c r="E66" i="1" l="1"/>
  <c r="F67" i="1"/>
  <c r="E67" i="1"/>
  <c r="D67" i="1"/>
  <c r="J67" i="1"/>
  <c r="I67" i="1" s="1"/>
  <c r="C68" i="1" l="1"/>
  <c r="F68" i="1" s="1"/>
  <c r="K67" i="1"/>
  <c r="L67" i="1"/>
  <c r="M67" i="1"/>
  <c r="B68" i="1" l="1"/>
  <c r="D68" i="1" s="1"/>
  <c r="C69" i="1" s="1"/>
  <c r="B69" i="1" s="1"/>
  <c r="D69" i="1" s="1"/>
  <c r="J68" i="1"/>
  <c r="M68" i="1" s="1"/>
  <c r="E68" i="1" l="1"/>
  <c r="E69" i="1" s="1"/>
  <c r="F69" i="1"/>
  <c r="I68" i="1"/>
  <c r="L68" i="1" s="1"/>
  <c r="C70" i="1"/>
  <c r="F70" i="1" l="1"/>
  <c r="B70" i="1"/>
  <c r="D70" i="1" s="1"/>
  <c r="C71" i="1" s="1"/>
  <c r="F71" i="1" s="1"/>
  <c r="K68" i="1"/>
  <c r="J69" i="1" s="1"/>
  <c r="M69" i="1" s="1"/>
  <c r="E70" i="1" l="1"/>
  <c r="B71" i="1"/>
  <c r="D71" i="1" s="1"/>
  <c r="C72" i="1" s="1"/>
  <c r="F72" i="1" s="1"/>
  <c r="I69" i="1"/>
  <c r="L69" i="1" s="1"/>
  <c r="E71" i="1" l="1"/>
  <c r="K69" i="1"/>
  <c r="J70" i="1" s="1"/>
  <c r="M70" i="1" s="1"/>
  <c r="B72" i="1"/>
  <c r="I70" i="1" l="1"/>
  <c r="L70" i="1" s="1"/>
  <c r="E72" i="1"/>
  <c r="D72" i="1"/>
  <c r="K70" i="1" l="1"/>
  <c r="J71" i="1" s="1"/>
  <c r="M71" i="1" s="1"/>
  <c r="C73" i="1"/>
  <c r="F73" i="1" s="1"/>
  <c r="I71" i="1" l="1"/>
  <c r="B73" i="1"/>
  <c r="D73" i="1" l="1"/>
  <c r="E73" i="1"/>
  <c r="K71" i="1"/>
  <c r="L71" i="1"/>
  <c r="J72" i="1" l="1"/>
  <c r="I72" i="1" s="1"/>
  <c r="C74" i="1"/>
  <c r="F74" i="1" s="1"/>
  <c r="K72" i="1" l="1"/>
  <c r="L72" i="1"/>
  <c r="M72" i="1"/>
  <c r="B74" i="1"/>
  <c r="E74" i="1" l="1"/>
  <c r="D74" i="1"/>
  <c r="J73" i="1"/>
  <c r="M73" i="1" s="1"/>
  <c r="I73" i="1" l="1"/>
  <c r="C75" i="1"/>
  <c r="B75" i="1" s="1"/>
  <c r="E75" i="1" l="1"/>
  <c r="D75" i="1"/>
  <c r="F75" i="1"/>
  <c r="L73" i="1"/>
  <c r="K73" i="1"/>
  <c r="J74" i="1" l="1"/>
  <c r="I74" i="1" s="1"/>
  <c r="C76" i="1"/>
  <c r="B76" i="1" s="1"/>
  <c r="M74" i="1" l="1"/>
  <c r="F76" i="1"/>
  <c r="D76" i="1"/>
  <c r="E76" i="1"/>
  <c r="L74" i="1"/>
  <c r="K74" i="1"/>
  <c r="J75" i="1" l="1"/>
  <c r="M75" i="1" s="1"/>
  <c r="C77" i="1"/>
  <c r="B77" i="1" s="1"/>
  <c r="I75" i="1" l="1"/>
  <c r="E77" i="1"/>
  <c r="D77" i="1"/>
  <c r="F77" i="1"/>
  <c r="K75" i="1" l="1"/>
  <c r="L75" i="1"/>
  <c r="C78" i="1"/>
  <c r="F78" i="1" s="1"/>
  <c r="J76" i="1" l="1"/>
  <c r="I76" i="1" s="1"/>
  <c r="B78" i="1"/>
  <c r="K76" i="1" l="1"/>
  <c r="L76" i="1"/>
  <c r="M76" i="1"/>
  <c r="D78" i="1"/>
  <c r="E78" i="1"/>
  <c r="J77" i="1" l="1"/>
  <c r="M77" i="1" s="1"/>
  <c r="C79" i="1"/>
  <c r="B79" i="1" s="1"/>
  <c r="I77" i="1" l="1"/>
  <c r="K77" i="1" s="1"/>
  <c r="L77" i="1"/>
  <c r="J78" i="1"/>
  <c r="M78" i="1" s="1"/>
  <c r="D79" i="1"/>
  <c r="E79" i="1"/>
  <c r="F79" i="1"/>
  <c r="I78" i="1" l="1"/>
  <c r="K78" i="1" s="1"/>
  <c r="J79" i="1" s="1"/>
  <c r="M79" i="1" s="1"/>
  <c r="C80" i="1"/>
  <c r="B80" i="1" s="1"/>
  <c r="L78" i="1" l="1"/>
  <c r="I79" i="1"/>
  <c r="F80" i="1"/>
  <c r="E80" i="1"/>
  <c r="D80" i="1"/>
  <c r="L79" i="1" l="1"/>
  <c r="K79" i="1"/>
  <c r="C81" i="1"/>
  <c r="F81" i="1" s="1"/>
  <c r="B81" i="1" l="1"/>
  <c r="E81" i="1" s="1"/>
  <c r="J80" i="1"/>
  <c r="I80" i="1" s="1"/>
  <c r="M80" i="1"/>
  <c r="D81" i="1" l="1"/>
  <c r="C82" i="1" s="1"/>
  <c r="F82" i="1" s="1"/>
  <c r="L80" i="1"/>
  <c r="K80" i="1"/>
  <c r="B82" i="1" l="1"/>
  <c r="D82" i="1" s="1"/>
  <c r="C83" i="1" s="1"/>
  <c r="B83" i="1" s="1"/>
  <c r="J81" i="1"/>
  <c r="I81" i="1" s="1"/>
  <c r="K81" i="1" s="1"/>
  <c r="M81" i="1"/>
  <c r="E82" i="1" l="1"/>
  <c r="E83" i="1" s="1"/>
  <c r="F83" i="1"/>
  <c r="J82" i="1"/>
  <c r="M82" i="1" s="1"/>
  <c r="L81" i="1"/>
  <c r="D83" i="1"/>
  <c r="I82" i="1" l="1"/>
  <c r="K82" i="1" s="1"/>
  <c r="J83" i="1" s="1"/>
  <c r="I83" i="1" s="1"/>
  <c r="C84" i="1"/>
  <c r="B84" i="1" s="1"/>
  <c r="L82" i="1" l="1"/>
  <c r="M83" i="1"/>
  <c r="K83" i="1"/>
  <c r="L83" i="1"/>
  <c r="F84" i="1"/>
  <c r="D84" i="1"/>
  <c r="E84" i="1"/>
  <c r="J84" i="1" l="1"/>
  <c r="I84" i="1" s="1"/>
  <c r="L84" i="1" s="1"/>
  <c r="C85" i="1"/>
  <c r="B85" i="1" s="1"/>
  <c r="K84" i="1" l="1"/>
  <c r="J85" i="1" s="1"/>
  <c r="I85" i="1" s="1"/>
  <c r="L85" i="1" s="1"/>
  <c r="M84" i="1"/>
  <c r="D85" i="1"/>
  <c r="E85" i="1"/>
  <c r="F85" i="1"/>
  <c r="K85" i="1" l="1"/>
  <c r="M85" i="1"/>
  <c r="C86" i="1"/>
  <c r="F86" i="1" s="1"/>
  <c r="J86" i="1" l="1"/>
  <c r="M86" i="1" s="1"/>
  <c r="B86" i="1"/>
  <c r="E86" i="1" s="1"/>
  <c r="D86" i="1" l="1"/>
  <c r="I86" i="1"/>
  <c r="C87" i="1"/>
  <c r="F87" i="1" s="1"/>
  <c r="L86" i="1" l="1"/>
  <c r="K86" i="1"/>
  <c r="B87" i="1"/>
  <c r="J87" i="1" l="1"/>
  <c r="I87" i="1" s="1"/>
  <c r="L87" i="1" s="1"/>
  <c r="E87" i="1"/>
  <c r="D87" i="1"/>
  <c r="K87" i="1" l="1"/>
  <c r="M87" i="1"/>
  <c r="C88" i="1"/>
  <c r="F88" i="1" s="1"/>
  <c r="J88" i="1" l="1"/>
  <c r="I88" i="1" s="1"/>
  <c r="B88" i="1"/>
  <c r="E88" i="1" s="1"/>
  <c r="D88" i="1" l="1"/>
  <c r="C89" i="1" s="1"/>
  <c r="F89" i="1" s="1"/>
  <c r="L88" i="1"/>
  <c r="K88" i="1"/>
  <c r="M88" i="1"/>
  <c r="B89" i="1" l="1"/>
  <c r="E89" i="1" s="1"/>
  <c r="J89" i="1"/>
  <c r="I89" i="1" s="1"/>
  <c r="M89" i="1"/>
  <c r="D89" i="1" l="1"/>
  <c r="C90" i="1" s="1"/>
  <c r="F90" i="1" s="1"/>
  <c r="L89" i="1"/>
  <c r="K89" i="1"/>
  <c r="J90" i="1" l="1"/>
  <c r="I90" i="1" s="1"/>
  <c r="L90" i="1" s="1"/>
  <c r="B90" i="1"/>
  <c r="K90" i="1" l="1"/>
  <c r="J91" i="1" s="1"/>
  <c r="I91" i="1" s="1"/>
  <c r="L91" i="1" s="1"/>
  <c r="M90" i="1"/>
  <c r="D90" i="1"/>
  <c r="E90" i="1"/>
  <c r="K91" i="1" l="1"/>
  <c r="J92" i="1" s="1"/>
  <c r="M91" i="1"/>
  <c r="C91" i="1"/>
  <c r="F91" i="1" s="1"/>
  <c r="M92" i="1" l="1"/>
  <c r="I92" i="1"/>
  <c r="B91" i="1"/>
  <c r="D91" i="1" s="1"/>
  <c r="C92" i="1" s="1"/>
  <c r="B92" i="1" s="1"/>
  <c r="E91" i="1" l="1"/>
  <c r="L92" i="1"/>
  <c r="K92" i="1"/>
  <c r="F92" i="1"/>
  <c r="E92" i="1"/>
  <c r="D92" i="1"/>
  <c r="J93" i="1" l="1"/>
  <c r="I93" i="1" s="1"/>
  <c r="L93" i="1" s="1"/>
  <c r="C93" i="1"/>
  <c r="B93" i="1" s="1"/>
  <c r="K93" i="1" l="1"/>
  <c r="J94" i="1" s="1"/>
  <c r="I94" i="1" s="1"/>
  <c r="L94" i="1" s="1"/>
  <c r="M93" i="1"/>
  <c r="E93" i="1"/>
  <c r="D93" i="1"/>
  <c r="F93" i="1"/>
  <c r="K94" i="1" l="1"/>
  <c r="J95" i="1" s="1"/>
  <c r="I95" i="1" s="1"/>
  <c r="M94" i="1"/>
  <c r="C94" i="1"/>
  <c r="F94" i="1" s="1"/>
  <c r="M95" i="1" l="1"/>
  <c r="L95" i="1"/>
  <c r="K95" i="1"/>
  <c r="B94" i="1"/>
  <c r="J96" i="1" l="1"/>
  <c r="I96" i="1" s="1"/>
  <c r="K96" i="1" s="1"/>
  <c r="E94" i="1"/>
  <c r="D94" i="1"/>
  <c r="L96" i="1" l="1"/>
  <c r="M96" i="1"/>
  <c r="J97" i="1"/>
  <c r="I97" i="1" s="1"/>
  <c r="K97" i="1" s="1"/>
  <c r="C95" i="1"/>
  <c r="F95" i="1" s="1"/>
  <c r="M97" i="1" l="1"/>
  <c r="L97" i="1"/>
  <c r="J98" i="1"/>
  <c r="M98" i="1" s="1"/>
  <c r="B95" i="1"/>
  <c r="I98" i="1" l="1"/>
  <c r="D95" i="1"/>
  <c r="E95" i="1"/>
  <c r="K98" i="1" l="1"/>
  <c r="L98" i="1"/>
  <c r="C96" i="1"/>
  <c r="B96" i="1" s="1"/>
  <c r="D96" i="1" s="1"/>
  <c r="J99" i="1" l="1"/>
  <c r="I99" i="1" s="1"/>
  <c r="L99" i="1" s="1"/>
  <c r="E96" i="1"/>
  <c r="C97" i="1"/>
  <c r="B97" i="1" s="1"/>
  <c r="F96" i="1"/>
  <c r="M99" i="1" l="1"/>
  <c r="K99" i="1"/>
  <c r="D97" i="1"/>
  <c r="C98" i="1" s="1"/>
  <c r="E97" i="1"/>
  <c r="F97" i="1"/>
  <c r="B98" i="1" l="1"/>
  <c r="J100" i="1"/>
  <c r="M100" i="1" s="1"/>
  <c r="F98" i="1"/>
  <c r="D98" i="1"/>
  <c r="E98" i="1"/>
  <c r="I100" i="1" l="1"/>
  <c r="C99" i="1"/>
  <c r="F99" i="1" s="1"/>
  <c r="K100" i="1" l="1"/>
  <c r="L100" i="1"/>
  <c r="B99" i="1"/>
  <c r="J101" i="1" l="1"/>
  <c r="I101" i="1" s="1"/>
  <c r="L101" i="1" s="1"/>
  <c r="E99" i="1"/>
  <c r="D99" i="1"/>
  <c r="M101" i="1" l="1"/>
  <c r="K101" i="1"/>
  <c r="C100" i="1"/>
  <c r="F100" i="1" s="1"/>
  <c r="J102" i="1" l="1"/>
  <c r="I102" i="1" s="1"/>
  <c r="L102" i="1" s="1"/>
  <c r="B100" i="1"/>
  <c r="E100" i="1" s="1"/>
  <c r="K102" i="1" l="1"/>
  <c r="D100" i="1"/>
  <c r="M102" i="1"/>
  <c r="J103" i="1"/>
  <c r="C101" i="1"/>
  <c r="F101" i="1" s="1"/>
  <c r="M103" i="1" l="1"/>
  <c r="I103" i="1"/>
  <c r="K103" i="1" s="1"/>
  <c r="J104" i="1" s="1"/>
  <c r="I104" i="1" s="1"/>
  <c r="K104" i="1" s="1"/>
  <c r="B101" i="1"/>
  <c r="E101" i="1" s="1"/>
  <c r="L103" i="1" l="1"/>
  <c r="L104" i="1"/>
  <c r="J105" i="1"/>
  <c r="I105" i="1" s="1"/>
  <c r="K105" i="1" s="1"/>
  <c r="M104" i="1"/>
  <c r="D101" i="1"/>
  <c r="C102" i="1" s="1"/>
  <c r="F102" i="1" s="1"/>
  <c r="B102" i="1" l="1"/>
  <c r="D102" i="1" s="1"/>
  <c r="C103" i="1" s="1"/>
  <c r="F103" i="1" s="1"/>
  <c r="J106" i="1"/>
  <c r="I106" i="1" s="1"/>
  <c r="K106" i="1" s="1"/>
  <c r="L105" i="1"/>
  <c r="M105" i="1"/>
  <c r="E102" i="1" l="1"/>
  <c r="J107" i="1"/>
  <c r="L106" i="1"/>
  <c r="M106" i="1"/>
  <c r="B103" i="1"/>
  <c r="D103" i="1" s="1"/>
  <c r="C104" i="1" s="1"/>
  <c r="F104" i="1" s="1"/>
  <c r="E103" i="1" l="1"/>
  <c r="M107" i="1"/>
  <c r="I107" i="1"/>
  <c r="B104" i="1"/>
  <c r="K107" i="1" l="1"/>
  <c r="L107" i="1"/>
  <c r="D104" i="1"/>
  <c r="E104" i="1"/>
  <c r="J108" i="1" l="1"/>
  <c r="M108" i="1" s="1"/>
  <c r="C105" i="1"/>
  <c r="B105" i="1" s="1"/>
  <c r="D105" i="1" s="1"/>
  <c r="I108" i="1" l="1"/>
  <c r="F105" i="1"/>
  <c r="E105" i="1"/>
  <c r="C106" i="1"/>
  <c r="F106" i="1" s="1"/>
  <c r="K108" i="1" l="1"/>
  <c r="L108" i="1"/>
  <c r="B106" i="1"/>
  <c r="D106" i="1" s="1"/>
  <c r="C107" i="1" s="1"/>
  <c r="B107" i="1" s="1"/>
  <c r="E106" i="1" l="1"/>
  <c r="E107" i="1" s="1"/>
  <c r="J109" i="1"/>
  <c r="I109" i="1" s="1"/>
  <c r="L109" i="1" s="1"/>
  <c r="D107" i="1"/>
  <c r="F107" i="1"/>
  <c r="K109" i="1" l="1"/>
  <c r="M109" i="1"/>
  <c r="J110" i="1"/>
  <c r="I110" i="1" s="1"/>
  <c r="K110" i="1" s="1"/>
  <c r="C108" i="1"/>
  <c r="F108" i="1" s="1"/>
  <c r="M110" i="1" l="1"/>
  <c r="J111" i="1"/>
  <c r="L110" i="1"/>
  <c r="B108" i="1"/>
  <c r="I111" i="1" l="1"/>
  <c r="M111" i="1"/>
  <c r="E108" i="1"/>
  <c r="D108" i="1"/>
  <c r="L111" i="1" l="1"/>
  <c r="K111" i="1"/>
  <c r="C109" i="1"/>
  <c r="F109" i="1" s="1"/>
  <c r="J112" i="1" l="1"/>
  <c r="I112" i="1" s="1"/>
  <c r="L112" i="1" s="1"/>
  <c r="B109" i="1"/>
  <c r="D109" i="1" s="1"/>
  <c r="C110" i="1" s="1"/>
  <c r="M112" i="1" l="1"/>
  <c r="E109" i="1"/>
  <c r="K112" i="1"/>
  <c r="F110" i="1"/>
  <c r="B110" i="1"/>
  <c r="D110" i="1" s="1"/>
  <c r="C111" i="1" s="1"/>
  <c r="E110" i="1" l="1"/>
  <c r="F111" i="1"/>
  <c r="J113" i="1"/>
  <c r="M113" i="1" s="1"/>
  <c r="B111" i="1"/>
  <c r="D111" i="1" s="1"/>
  <c r="C112" i="1" s="1"/>
  <c r="I113" i="1" l="1"/>
  <c r="K113" i="1" s="1"/>
  <c r="J114" i="1" s="1"/>
  <c r="M114" i="1" s="1"/>
  <c r="L113" i="1"/>
  <c r="F112" i="1"/>
  <c r="B112" i="1"/>
  <c r="D112" i="1" s="1"/>
  <c r="E111" i="1"/>
  <c r="I114" i="1" l="1"/>
  <c r="K114" i="1" s="1"/>
  <c r="L114" i="1"/>
  <c r="J115" i="1"/>
  <c r="M115" i="1" s="1"/>
  <c r="E112" i="1"/>
  <c r="C113" i="1"/>
  <c r="F113" i="1" s="1"/>
  <c r="I115" i="1" l="1"/>
  <c r="B113" i="1"/>
  <c r="K115" i="1" l="1"/>
  <c r="L115" i="1"/>
  <c r="E113" i="1"/>
  <c r="D113" i="1"/>
  <c r="J116" i="1" l="1"/>
  <c r="M116" i="1" s="1"/>
  <c r="I116" i="1"/>
  <c r="K116" i="1" s="1"/>
  <c r="C114" i="1"/>
  <c r="B114" i="1" s="1"/>
  <c r="L116" i="1" l="1"/>
  <c r="J117" i="1"/>
  <c r="M117" i="1" s="1"/>
  <c r="F114" i="1"/>
  <c r="E114" i="1"/>
  <c r="D114" i="1"/>
  <c r="I117" i="1" l="1"/>
  <c r="C115" i="1"/>
  <c r="B115" i="1" s="1"/>
  <c r="D115" i="1" s="1"/>
  <c r="K117" i="1" l="1"/>
  <c r="L117" i="1"/>
  <c r="E115" i="1"/>
  <c r="F115" i="1"/>
  <c r="C116" i="1"/>
  <c r="B116" i="1" s="1"/>
  <c r="D116" i="1" s="1"/>
  <c r="J118" i="1" l="1"/>
  <c r="M118" i="1" s="1"/>
  <c r="I118" i="1"/>
  <c r="K118" i="1" s="1"/>
  <c r="E116" i="1"/>
  <c r="F116" i="1"/>
  <c r="C117" i="1"/>
  <c r="F117" i="1" l="1"/>
  <c r="L118" i="1"/>
  <c r="J119" i="1"/>
  <c r="I119" i="1" s="1"/>
  <c r="B117" i="1"/>
  <c r="E117" i="1" s="1"/>
  <c r="D117" i="1" l="1"/>
  <c r="M119" i="1"/>
  <c r="L119" i="1"/>
  <c r="K119" i="1"/>
  <c r="C118" i="1"/>
  <c r="F118" i="1" s="1"/>
  <c r="J120" i="1" l="1"/>
  <c r="I120" i="1" s="1"/>
  <c r="K120" i="1" s="1"/>
  <c r="B118" i="1"/>
  <c r="E118" i="1" s="1"/>
  <c r="L120" i="1" l="1"/>
  <c r="M120" i="1"/>
  <c r="D118" i="1"/>
  <c r="C119" i="1" s="1"/>
  <c r="B119" i="1" s="1"/>
  <c r="J121" i="1"/>
  <c r="I121" i="1" s="1"/>
  <c r="K121" i="1" s="1"/>
  <c r="M121" i="1" l="1"/>
  <c r="L121" i="1"/>
  <c r="J122" i="1"/>
  <c r="M122" i="1" s="1"/>
  <c r="F119" i="1"/>
  <c r="D119" i="1"/>
  <c r="C120" i="1" s="1"/>
  <c r="B120" i="1" s="1"/>
  <c r="D120" i="1" s="1"/>
  <c r="E119" i="1"/>
  <c r="I122" i="1" l="1"/>
  <c r="K122" i="1"/>
  <c r="L122" i="1"/>
  <c r="F120" i="1"/>
  <c r="E120" i="1"/>
  <c r="C121" i="1"/>
  <c r="B121" i="1" s="1"/>
  <c r="J123" i="1" l="1"/>
  <c r="I123" i="1" s="1"/>
  <c r="L123" i="1"/>
  <c r="K123" i="1"/>
  <c r="F121" i="1"/>
  <c r="E121" i="1"/>
  <c r="D121" i="1"/>
  <c r="M123" i="1" l="1"/>
  <c r="J124" i="1"/>
  <c r="I124" i="1" s="1"/>
  <c r="L124" i="1" s="1"/>
  <c r="C122" i="1"/>
  <c r="F122" i="1" s="1"/>
  <c r="K124" i="1" l="1"/>
  <c r="M124" i="1"/>
  <c r="J125" i="1"/>
  <c r="M125" i="1" s="1"/>
  <c r="B122" i="1"/>
  <c r="E122" i="1" s="1"/>
  <c r="I125" i="1" l="1"/>
  <c r="D122" i="1"/>
  <c r="C123" i="1" s="1"/>
  <c r="B123" i="1" s="1"/>
  <c r="L125" i="1" l="1"/>
  <c r="K125" i="1"/>
  <c r="F123" i="1"/>
  <c r="E123" i="1"/>
  <c r="D123" i="1"/>
  <c r="J126" i="1" l="1"/>
  <c r="I126" i="1" s="1"/>
  <c r="L126" i="1" s="1"/>
  <c r="C124" i="1"/>
  <c r="F124" i="1" s="1"/>
  <c r="K126" i="1" l="1"/>
  <c r="M126" i="1"/>
  <c r="B124" i="1"/>
  <c r="J127" i="1" l="1"/>
  <c r="I127" i="1" s="1"/>
  <c r="K127" i="1" s="1"/>
  <c r="M127" i="1"/>
  <c r="D124" i="1"/>
  <c r="E124" i="1"/>
  <c r="L127" i="1" l="1"/>
  <c r="J128" i="1"/>
  <c r="I128" i="1"/>
  <c r="M128" i="1"/>
  <c r="C125" i="1"/>
  <c r="B125" i="1" s="1"/>
  <c r="L128" i="1" l="1"/>
  <c r="K128" i="1"/>
  <c r="J129" i="1"/>
  <c r="I129" i="1" s="1"/>
  <c r="K129" i="1" s="1"/>
  <c r="F125" i="1"/>
  <c r="E125" i="1"/>
  <c r="D125" i="1"/>
  <c r="C126" i="1" s="1"/>
  <c r="B126" i="1" s="1"/>
  <c r="M129" i="1" l="1"/>
  <c r="L129" i="1"/>
  <c r="J130" i="1"/>
  <c r="I130" i="1" s="1"/>
  <c r="K130" i="1" s="1"/>
  <c r="F126" i="1"/>
  <c r="E126" i="1"/>
  <c r="D126" i="1"/>
  <c r="M130" i="1" l="1"/>
  <c r="L130" i="1"/>
  <c r="J131" i="1"/>
  <c r="M131" i="1" s="1"/>
  <c r="C127" i="1"/>
  <c r="F127" i="1" s="1"/>
  <c r="I131" i="1" l="1"/>
  <c r="K131" i="1" s="1"/>
  <c r="L131" i="1"/>
  <c r="J132" i="1"/>
  <c r="M132" i="1" s="1"/>
  <c r="B127" i="1"/>
  <c r="D127" i="1" s="1"/>
  <c r="C128" i="1" s="1"/>
  <c r="F128" i="1" s="1"/>
  <c r="I132" i="1" l="1"/>
  <c r="E127" i="1"/>
  <c r="B128" i="1"/>
  <c r="K132" i="1" l="1"/>
  <c r="L132" i="1"/>
  <c r="E128" i="1"/>
  <c r="D128" i="1"/>
  <c r="J133" i="1" l="1"/>
  <c r="I133" i="1" s="1"/>
  <c r="K133" i="1" s="1"/>
  <c r="C129" i="1"/>
  <c r="B129" i="1" s="1"/>
  <c r="D129" i="1" s="1"/>
  <c r="L133" i="1" l="1"/>
  <c r="M133" i="1"/>
  <c r="J134" i="1"/>
  <c r="F129" i="1"/>
  <c r="E129" i="1"/>
  <c r="C130" i="1"/>
  <c r="F130" i="1" s="1"/>
  <c r="M134" i="1" l="1"/>
  <c r="I134" i="1"/>
  <c r="L134" i="1" s="1"/>
  <c r="B130" i="1"/>
  <c r="K134" i="1" l="1"/>
  <c r="J135" i="1" s="1"/>
  <c r="M135" i="1" s="1"/>
  <c r="D130" i="1"/>
  <c r="E130" i="1"/>
  <c r="I135" i="1" l="1"/>
  <c r="C131" i="1"/>
  <c r="F131" i="1" s="1"/>
  <c r="K135" i="1" l="1"/>
  <c r="L135" i="1"/>
  <c r="B131" i="1"/>
  <c r="E131" i="1" s="1"/>
  <c r="J136" i="1" l="1"/>
  <c r="I136" i="1" s="1"/>
  <c r="K136" i="1" s="1"/>
  <c r="M136" i="1"/>
  <c r="L136" i="1"/>
  <c r="D131" i="1"/>
  <c r="C132" i="1" s="1"/>
  <c r="B132" i="1" s="1"/>
  <c r="J137" i="1" l="1"/>
  <c r="I137" i="1" s="1"/>
  <c r="L137" i="1" s="1"/>
  <c r="E132" i="1"/>
  <c r="D132" i="1"/>
  <c r="F132" i="1"/>
  <c r="K137" i="1" l="1"/>
  <c r="M137" i="1"/>
  <c r="J138" i="1"/>
  <c r="I138" i="1" s="1"/>
  <c r="L138" i="1" s="1"/>
  <c r="C133" i="1"/>
  <c r="F133" i="1" s="1"/>
  <c r="M138" i="1" l="1"/>
  <c r="K138" i="1"/>
  <c r="B133" i="1"/>
  <c r="E133" i="1" s="1"/>
  <c r="J139" i="1"/>
  <c r="M139" i="1" s="1"/>
  <c r="D133" i="1" l="1"/>
  <c r="I139" i="1"/>
  <c r="K139" i="1" s="1"/>
  <c r="J140" i="1" s="1"/>
  <c r="M140" i="1" s="1"/>
  <c r="C134" i="1"/>
  <c r="B134" i="1" s="1"/>
  <c r="E134" i="1" s="1"/>
  <c r="L139" i="1" l="1"/>
  <c r="I140" i="1"/>
  <c r="K140" i="1" s="1"/>
  <c r="J141" i="1" s="1"/>
  <c r="M141" i="1" s="1"/>
  <c r="F134" i="1"/>
  <c r="D134" i="1"/>
  <c r="C135" i="1" s="1"/>
  <c r="B135" i="1" s="1"/>
  <c r="D135" i="1" s="1"/>
  <c r="L140" i="1" l="1"/>
  <c r="I141" i="1"/>
  <c r="E135" i="1"/>
  <c r="F135" i="1"/>
  <c r="C136" i="1"/>
  <c r="F136" i="1" s="1"/>
  <c r="K141" i="1" l="1"/>
  <c r="L141" i="1"/>
  <c r="B136" i="1"/>
  <c r="J142" i="1" l="1"/>
  <c r="I142" i="1" s="1"/>
  <c r="K142" i="1" s="1"/>
  <c r="L142" i="1"/>
  <c r="M142" i="1"/>
  <c r="D136" i="1"/>
  <c r="E136" i="1"/>
  <c r="J143" i="1" l="1"/>
  <c r="I143" i="1" s="1"/>
  <c r="K143" i="1" s="1"/>
  <c r="C137" i="1"/>
  <c r="F137" i="1" s="1"/>
  <c r="J144" i="1" l="1"/>
  <c r="I144" i="1" s="1"/>
  <c r="K144" i="1" s="1"/>
  <c r="L143" i="1"/>
  <c r="L144" i="1" s="1"/>
  <c r="M143" i="1"/>
  <c r="B137" i="1"/>
  <c r="M144" i="1" l="1"/>
  <c r="J145" i="1"/>
  <c r="I145" i="1" s="1"/>
  <c r="L145" i="1" s="1"/>
  <c r="E137" i="1"/>
  <c r="D137" i="1"/>
  <c r="M145" i="1" l="1"/>
  <c r="K145" i="1"/>
  <c r="C138" i="1"/>
  <c r="B138" i="1" s="1"/>
  <c r="D138" i="1" s="1"/>
  <c r="J146" i="1" l="1"/>
  <c r="I146" i="1" s="1"/>
  <c r="M146" i="1"/>
  <c r="C139" i="1"/>
  <c r="B139" i="1" s="1"/>
  <c r="D139" i="1" s="1"/>
  <c r="E138" i="1"/>
  <c r="F138" i="1"/>
  <c r="K146" i="1" l="1"/>
  <c r="L146" i="1"/>
  <c r="F139" i="1"/>
  <c r="C140" i="1"/>
  <c r="B140" i="1" s="1"/>
  <c r="D140" i="1" s="1"/>
  <c r="E139" i="1"/>
  <c r="J147" i="1" l="1"/>
  <c r="I147" i="1" s="1"/>
  <c r="K147" i="1" s="1"/>
  <c r="M147" i="1"/>
  <c r="E140" i="1"/>
  <c r="F140" i="1"/>
  <c r="C141" i="1"/>
  <c r="L147" i="1" l="1"/>
  <c r="F141" i="1"/>
  <c r="J148" i="1"/>
  <c r="I148" i="1" s="1"/>
  <c r="L148" i="1" s="1"/>
  <c r="B141" i="1"/>
  <c r="M148" i="1" l="1"/>
  <c r="K148" i="1"/>
  <c r="D141" i="1"/>
  <c r="E141" i="1"/>
  <c r="J149" i="1" l="1"/>
  <c r="I149" i="1" s="1"/>
  <c r="L149" i="1"/>
  <c r="K149" i="1"/>
  <c r="C142" i="1"/>
  <c r="F142" i="1" s="1"/>
  <c r="M149" i="1" l="1"/>
  <c r="J150" i="1"/>
  <c r="I150" i="1" s="1"/>
  <c r="K150" i="1" s="1"/>
  <c r="M150" i="1"/>
  <c r="B142" i="1"/>
  <c r="L150" i="1" l="1"/>
  <c r="J151" i="1"/>
  <c r="M151" i="1" s="1"/>
  <c r="I151" i="1"/>
  <c r="K151" i="1" s="1"/>
  <c r="D142" i="1"/>
  <c r="E142" i="1"/>
  <c r="J152" i="1" l="1"/>
  <c r="I152" i="1" s="1"/>
  <c r="K152" i="1" s="1"/>
  <c r="M152" i="1"/>
  <c r="L151" i="1"/>
  <c r="L152" i="1" s="1"/>
  <c r="C143" i="1"/>
  <c r="F143" i="1" s="1"/>
  <c r="B143" i="1" l="1"/>
  <c r="E143" i="1" s="1"/>
  <c r="J153" i="1"/>
  <c r="I153" i="1" s="1"/>
  <c r="L153" i="1" s="1"/>
  <c r="M153" i="1"/>
  <c r="K153" i="1"/>
  <c r="D143" i="1" l="1"/>
  <c r="C144" i="1" s="1"/>
  <c r="B144" i="1" s="1"/>
  <c r="D144" i="1" s="1"/>
  <c r="J154" i="1"/>
  <c r="M154" i="1" s="1"/>
  <c r="I154" i="1"/>
  <c r="K154" i="1" s="1"/>
  <c r="L154" i="1" l="1"/>
  <c r="J155" i="1"/>
  <c r="I155" i="1" s="1"/>
  <c r="L155" i="1" s="1"/>
  <c r="F144" i="1"/>
  <c r="C145" i="1"/>
  <c r="B145" i="1" s="1"/>
  <c r="D145" i="1" s="1"/>
  <c r="E144" i="1"/>
  <c r="K155" i="1" l="1"/>
  <c r="J156" i="1" s="1"/>
  <c r="M155" i="1"/>
  <c r="M156" i="1" s="1"/>
  <c r="E145" i="1"/>
  <c r="C146" i="1"/>
  <c r="B146" i="1" s="1"/>
  <c r="F145" i="1"/>
  <c r="I156" i="1"/>
  <c r="K156" i="1" s="1"/>
  <c r="J157" i="1" s="1"/>
  <c r="F146" i="1" l="1"/>
  <c r="E146" i="1"/>
  <c r="D146" i="1"/>
  <c r="C147" i="1" s="1"/>
  <c r="F147" i="1" s="1"/>
  <c r="L156" i="1"/>
  <c r="L157" i="1" s="1"/>
  <c r="I157" i="1"/>
  <c r="K157" i="1" s="1"/>
  <c r="M157" i="1"/>
  <c r="B147" i="1" l="1"/>
  <c r="D147" i="1" s="1"/>
  <c r="E147" i="1"/>
  <c r="J158" i="1"/>
  <c r="M158" i="1" s="1"/>
  <c r="I158" i="1" l="1"/>
  <c r="K158" i="1" s="1"/>
  <c r="L158" i="1"/>
  <c r="C148" i="1"/>
  <c r="F148" i="1" s="1"/>
  <c r="J159" i="1"/>
  <c r="I159" i="1" s="1"/>
  <c r="M159" i="1" l="1"/>
  <c r="B148" i="1"/>
  <c r="K159" i="1"/>
  <c r="J160" i="1" s="1"/>
  <c r="I160" i="1" s="1"/>
  <c r="L159" i="1"/>
  <c r="M160" i="1" l="1"/>
  <c r="E148" i="1"/>
  <c r="D148" i="1"/>
  <c r="K160" i="1"/>
  <c r="J161" i="1" s="1"/>
  <c r="M161" i="1" s="1"/>
  <c r="L160" i="1"/>
  <c r="C149" i="1" l="1"/>
  <c r="F149" i="1" s="1"/>
  <c r="I161" i="1"/>
  <c r="B149" i="1" l="1"/>
  <c r="L161" i="1"/>
  <c r="K161" i="1"/>
  <c r="E149" i="1" l="1"/>
  <c r="D149" i="1"/>
  <c r="J162" i="1"/>
  <c r="I162" i="1" s="1"/>
  <c r="K162" i="1" s="1"/>
  <c r="C150" i="1" l="1"/>
  <c r="B150" i="1" s="1"/>
  <c r="E150" i="1" s="1"/>
  <c r="M162" i="1"/>
  <c r="J163" i="1"/>
  <c r="I163" i="1" s="1"/>
  <c r="L162" i="1"/>
  <c r="M163" i="1" l="1"/>
  <c r="D150" i="1"/>
  <c r="F150" i="1"/>
  <c r="L163" i="1"/>
  <c r="K163" i="1"/>
  <c r="J164" i="1" s="1"/>
  <c r="C151" i="1" l="1"/>
  <c r="F151" i="1" s="1"/>
  <c r="M164" i="1"/>
  <c r="I164" i="1"/>
  <c r="L164" i="1" s="1"/>
  <c r="K164" i="1" l="1"/>
  <c r="J165" i="1" s="1"/>
  <c r="I165" i="1" s="1"/>
  <c r="B151" i="1"/>
  <c r="D151" i="1" l="1"/>
  <c r="E151" i="1"/>
  <c r="M165" i="1"/>
  <c r="K165" i="1"/>
  <c r="L165" i="1"/>
  <c r="C152" i="1" l="1"/>
  <c r="B152" i="1" s="1"/>
  <c r="E152" i="1" s="1"/>
  <c r="J166" i="1"/>
  <c r="I166" i="1" s="1"/>
  <c r="F152" i="1" l="1"/>
  <c r="D152" i="1"/>
  <c r="C153" i="1" s="1"/>
  <c r="B153" i="1" s="1"/>
  <c r="E153" i="1" s="1"/>
  <c r="M166" i="1"/>
  <c r="L166" i="1"/>
  <c r="K166" i="1"/>
  <c r="D153" i="1" l="1"/>
  <c r="F153" i="1"/>
  <c r="C154" i="1"/>
  <c r="F154" i="1" s="1"/>
  <c r="J167" i="1"/>
  <c r="I167" i="1" s="1"/>
  <c r="M167" i="1" l="1"/>
  <c r="L167" i="1"/>
  <c r="K167" i="1"/>
  <c r="B154" i="1"/>
  <c r="D154" i="1" l="1"/>
  <c r="E154" i="1"/>
  <c r="J168" i="1"/>
  <c r="I168" i="1" s="1"/>
  <c r="L168" i="1" l="1"/>
  <c r="K168" i="1"/>
  <c r="M168" i="1"/>
  <c r="C155" i="1"/>
  <c r="B155" i="1" s="1"/>
  <c r="F155" i="1" l="1"/>
  <c r="E155" i="1"/>
  <c r="D155" i="1"/>
  <c r="J169" i="1"/>
  <c r="I169" i="1" s="1"/>
  <c r="L169" i="1" l="1"/>
  <c r="K169" i="1"/>
  <c r="M169" i="1"/>
  <c r="C156" i="1"/>
  <c r="B156" i="1" s="1"/>
  <c r="D156" i="1" l="1"/>
  <c r="E156" i="1"/>
  <c r="F156" i="1"/>
  <c r="J170" i="1"/>
  <c r="M170" i="1" s="1"/>
  <c r="I170" i="1" l="1"/>
  <c r="K170" i="1" s="1"/>
  <c r="L170" i="1"/>
  <c r="J171" i="1"/>
  <c r="M171" i="1" s="1"/>
  <c r="C157" i="1"/>
  <c r="B157" i="1" s="1"/>
  <c r="I171" i="1" l="1"/>
  <c r="D157" i="1"/>
  <c r="E157" i="1"/>
  <c r="F157" i="1"/>
  <c r="K171" i="1" l="1"/>
  <c r="L171" i="1"/>
  <c r="C158" i="1"/>
  <c r="F158" i="1" s="1"/>
  <c r="B158" i="1" l="1"/>
  <c r="J172" i="1"/>
  <c r="I172" i="1" s="1"/>
  <c r="M172" i="1" l="1"/>
  <c r="L172" i="1"/>
  <c r="K172" i="1"/>
  <c r="J173" i="1" s="1"/>
  <c r="M173" i="1" s="1"/>
  <c r="E158" i="1"/>
  <c r="D158" i="1"/>
  <c r="C159" i="1" s="1"/>
  <c r="B159" i="1" s="1"/>
  <c r="I173" i="1" l="1"/>
  <c r="K173" i="1" s="1"/>
  <c r="J174" i="1" s="1"/>
  <c r="I174" i="1" s="1"/>
  <c r="E159" i="1"/>
  <c r="D159" i="1"/>
  <c r="C160" i="1" s="1"/>
  <c r="B160" i="1" s="1"/>
  <c r="F159" i="1"/>
  <c r="K174" i="1" l="1"/>
  <c r="J175" i="1" s="1"/>
  <c r="I175" i="1" s="1"/>
  <c r="M174" i="1"/>
  <c r="L173" i="1"/>
  <c r="L174" i="1" s="1"/>
  <c r="L175" i="1" s="1"/>
  <c r="E160" i="1"/>
  <c r="D160" i="1"/>
  <c r="C161" i="1" s="1"/>
  <c r="F160" i="1"/>
  <c r="K175" i="1"/>
  <c r="M175" i="1"/>
  <c r="F161" i="1" l="1"/>
  <c r="B161" i="1"/>
  <c r="J176" i="1"/>
  <c r="I176" i="1" s="1"/>
  <c r="K176" i="1" s="1"/>
  <c r="M176" i="1" l="1"/>
  <c r="L176" i="1"/>
  <c r="J177" i="1"/>
  <c r="I177" i="1" s="1"/>
  <c r="D161" i="1"/>
  <c r="E161" i="1"/>
  <c r="K177" i="1" l="1"/>
  <c r="L177" i="1"/>
  <c r="C162" i="1"/>
  <c r="B162" i="1" s="1"/>
  <c r="M177" i="1"/>
  <c r="F162" i="1" l="1"/>
  <c r="E162" i="1"/>
  <c r="D162" i="1"/>
  <c r="J178" i="1"/>
  <c r="I178" i="1" s="1"/>
  <c r="L178" i="1" l="1"/>
  <c r="K178" i="1"/>
  <c r="M178" i="1"/>
  <c r="C163" i="1"/>
  <c r="B163" i="1" s="1"/>
  <c r="D163" i="1" l="1"/>
  <c r="E163" i="1"/>
  <c r="F163" i="1"/>
  <c r="J179" i="1"/>
  <c r="I179" i="1" s="1"/>
  <c r="K179" i="1" l="1"/>
  <c r="L179" i="1"/>
  <c r="M179" i="1"/>
  <c r="C164" i="1"/>
  <c r="B164" i="1" s="1"/>
  <c r="D164" i="1" l="1"/>
  <c r="E164" i="1"/>
  <c r="F164" i="1"/>
  <c r="J180" i="1"/>
  <c r="I180" i="1" s="1"/>
  <c r="K180" i="1" l="1"/>
  <c r="L180" i="1"/>
  <c r="M180" i="1"/>
  <c r="C165" i="1"/>
  <c r="B165" i="1" s="1"/>
  <c r="E165" i="1" l="1"/>
  <c r="D165" i="1"/>
  <c r="F165" i="1"/>
  <c r="J181" i="1"/>
  <c r="I181" i="1" s="1"/>
  <c r="M181" i="1" l="1"/>
  <c r="K181" i="1"/>
  <c r="L181" i="1"/>
  <c r="C166" i="1"/>
  <c r="B166" i="1" s="1"/>
  <c r="E166" i="1" l="1"/>
  <c r="D166" i="1"/>
  <c r="F166" i="1"/>
  <c r="J182" i="1"/>
  <c r="I182" i="1" s="1"/>
  <c r="K182" i="1" l="1"/>
  <c r="J183" i="1" s="1"/>
  <c r="L182" i="1"/>
  <c r="M182" i="1"/>
  <c r="C167" i="1"/>
  <c r="F167" i="1" s="1"/>
  <c r="I183" i="1" l="1"/>
  <c r="L183" i="1" s="1"/>
  <c r="M183" i="1"/>
  <c r="B167" i="1"/>
  <c r="K183" i="1" l="1"/>
  <c r="J184" i="1" s="1"/>
  <c r="I184" i="1" s="1"/>
  <c r="L184" i="1"/>
  <c r="D167" i="1"/>
  <c r="E167" i="1"/>
  <c r="K184" i="1" l="1"/>
  <c r="M184" i="1"/>
  <c r="C168" i="1"/>
  <c r="F168" i="1" s="1"/>
  <c r="J185" i="1"/>
  <c r="M185" i="1" s="1"/>
  <c r="I185" i="1" l="1"/>
  <c r="B168" i="1"/>
  <c r="K185" i="1" l="1"/>
  <c r="L185" i="1"/>
  <c r="E168" i="1"/>
  <c r="D168" i="1"/>
  <c r="J186" i="1" l="1"/>
  <c r="I186" i="1" s="1"/>
  <c r="C169" i="1"/>
  <c r="B169" i="1" s="1"/>
  <c r="M186" i="1" l="1"/>
  <c r="K186" i="1"/>
  <c r="L186" i="1"/>
  <c r="D169" i="1"/>
  <c r="E169" i="1"/>
  <c r="F169" i="1"/>
  <c r="J187" i="1" l="1"/>
  <c r="M187" i="1" s="1"/>
  <c r="C170" i="1"/>
  <c r="B170" i="1" s="1"/>
  <c r="D170" i="1" s="1"/>
  <c r="F170" i="1" l="1"/>
  <c r="I187" i="1"/>
  <c r="C171" i="1"/>
  <c r="F171" i="1" s="1"/>
  <c r="E170" i="1"/>
  <c r="B171" i="1" l="1"/>
  <c r="D171" i="1" s="1"/>
  <c r="C172" i="1" s="1"/>
  <c r="F172" i="1" s="1"/>
  <c r="K187" i="1"/>
  <c r="L187" i="1"/>
  <c r="B172" i="1" l="1"/>
  <c r="D172" i="1" s="1"/>
  <c r="C173" i="1" s="1"/>
  <c r="B173" i="1" s="1"/>
  <c r="E171" i="1"/>
  <c r="E172" i="1" s="1"/>
  <c r="J188" i="1"/>
  <c r="M188" i="1" s="1"/>
  <c r="I188" i="1" l="1"/>
  <c r="E173" i="1"/>
  <c r="D173" i="1"/>
  <c r="F173" i="1"/>
  <c r="L188" i="1" l="1"/>
  <c r="K188" i="1"/>
  <c r="J189" i="1" s="1"/>
  <c r="M189" i="1" s="1"/>
  <c r="C174" i="1"/>
  <c r="B174" i="1" s="1"/>
  <c r="I189" i="1" l="1"/>
  <c r="K189" i="1" s="1"/>
  <c r="F174" i="1"/>
  <c r="E174" i="1"/>
  <c r="D174" i="1"/>
  <c r="C175" i="1" s="1"/>
  <c r="B175" i="1" s="1"/>
  <c r="D175" i="1" s="1"/>
  <c r="L189" i="1"/>
  <c r="F175" i="1" l="1"/>
  <c r="J190" i="1"/>
  <c r="I190" i="1" s="1"/>
  <c r="C176" i="1"/>
  <c r="E175" i="1"/>
  <c r="F176" i="1" l="1"/>
  <c r="M190" i="1"/>
  <c r="K190" i="1"/>
  <c r="L190" i="1"/>
  <c r="B176" i="1"/>
  <c r="J191" i="1" l="1"/>
  <c r="I191" i="1" s="1"/>
  <c r="L191" i="1" s="1"/>
  <c r="E176" i="1"/>
  <c r="D176" i="1"/>
  <c r="K191" i="1" l="1"/>
  <c r="M191" i="1"/>
  <c r="J192" i="1"/>
  <c r="C177" i="1"/>
  <c r="B177" i="1" s="1"/>
  <c r="M192" i="1" l="1"/>
  <c r="I192" i="1"/>
  <c r="K192" i="1" s="1"/>
  <c r="J193" i="1" s="1"/>
  <c r="I193" i="1" s="1"/>
  <c r="E177" i="1"/>
  <c r="D177" i="1"/>
  <c r="F177" i="1"/>
  <c r="L192" i="1" l="1"/>
  <c r="M193" i="1"/>
  <c r="L193" i="1"/>
  <c r="K193" i="1"/>
  <c r="C178" i="1"/>
  <c r="F178" i="1" s="1"/>
  <c r="B178" i="1" l="1"/>
  <c r="D178" i="1" s="1"/>
  <c r="C179" i="1" s="1"/>
  <c r="B179" i="1" s="1"/>
  <c r="J194" i="1"/>
  <c r="M194" i="1" s="1"/>
  <c r="E178" i="1"/>
  <c r="I194" i="1" l="1"/>
  <c r="D179" i="1"/>
  <c r="E179" i="1"/>
  <c r="F179" i="1"/>
  <c r="L194" i="1" l="1"/>
  <c r="K194" i="1"/>
  <c r="C180" i="1"/>
  <c r="B180" i="1" s="1"/>
  <c r="J195" i="1" l="1"/>
  <c r="M195" i="1" s="1"/>
  <c r="E180" i="1"/>
  <c r="D180" i="1"/>
  <c r="F180" i="1"/>
  <c r="I195" i="1" l="1"/>
  <c r="K195" i="1" s="1"/>
  <c r="J196" i="1" s="1"/>
  <c r="I196" i="1" s="1"/>
  <c r="L195" i="1"/>
  <c r="C181" i="1"/>
  <c r="F181" i="1" s="1"/>
  <c r="M196" i="1" l="1"/>
  <c r="K196" i="1"/>
  <c r="L196" i="1"/>
  <c r="B181" i="1"/>
  <c r="J197" i="1" l="1"/>
  <c r="I197" i="1" s="1"/>
  <c r="D181" i="1"/>
  <c r="E181" i="1"/>
  <c r="M197" i="1" l="1"/>
  <c r="K197" i="1"/>
  <c r="L197" i="1"/>
  <c r="C182" i="1"/>
  <c r="B182" i="1" s="1"/>
  <c r="J198" i="1" l="1"/>
  <c r="I198" i="1" s="1"/>
  <c r="M198" i="1"/>
  <c r="D182" i="1"/>
  <c r="E182" i="1"/>
  <c r="F182" i="1"/>
  <c r="K198" i="1" l="1"/>
  <c r="L198" i="1"/>
  <c r="C183" i="1"/>
  <c r="B183" i="1" s="1"/>
  <c r="J199" i="1" l="1"/>
  <c r="M199" i="1" s="1"/>
  <c r="E183" i="1"/>
  <c r="D183" i="1"/>
  <c r="F183" i="1"/>
  <c r="I199" i="1" l="1"/>
  <c r="C184" i="1"/>
  <c r="F184" i="1" s="1"/>
  <c r="B184" i="1" l="1"/>
  <c r="L199" i="1"/>
  <c r="K199" i="1"/>
  <c r="J200" i="1" l="1"/>
  <c r="I200" i="1" s="1"/>
  <c r="K200" i="1" s="1"/>
  <c r="E184" i="1"/>
  <c r="D184" i="1"/>
  <c r="C185" i="1" s="1"/>
  <c r="B185" i="1" s="1"/>
  <c r="E185" i="1" l="1"/>
  <c r="D185" i="1"/>
  <c r="C186" i="1" s="1"/>
  <c r="B186" i="1" s="1"/>
  <c r="J201" i="1"/>
  <c r="I201" i="1" s="1"/>
  <c r="K201" i="1" s="1"/>
  <c r="L200" i="1"/>
  <c r="F185" i="1"/>
  <c r="M200" i="1"/>
  <c r="J202" i="1" l="1"/>
  <c r="I202" i="1" s="1"/>
  <c r="L201" i="1"/>
  <c r="F186" i="1"/>
  <c r="M201" i="1"/>
  <c r="E186" i="1"/>
  <c r="D186" i="1"/>
  <c r="K202" i="1" l="1"/>
  <c r="L202" i="1"/>
  <c r="M202" i="1"/>
  <c r="C187" i="1"/>
  <c r="B187" i="1" s="1"/>
  <c r="F187" i="1" l="1"/>
  <c r="J203" i="1"/>
  <c r="M203" i="1" s="1"/>
  <c r="D187" i="1"/>
  <c r="E187" i="1"/>
  <c r="I203" i="1" l="1"/>
  <c r="C188" i="1"/>
  <c r="F188" i="1" s="1"/>
  <c r="B188" i="1" l="1"/>
  <c r="D188" i="1" s="1"/>
  <c r="C189" i="1" s="1"/>
  <c r="B189" i="1" s="1"/>
  <c r="K203" i="1"/>
  <c r="L203" i="1"/>
  <c r="E188" i="1" l="1"/>
  <c r="F189" i="1"/>
  <c r="J204" i="1"/>
  <c r="M204" i="1" s="1"/>
  <c r="D189" i="1"/>
  <c r="E189" i="1"/>
  <c r="I204" i="1" l="1"/>
  <c r="C190" i="1"/>
  <c r="F190" i="1" s="1"/>
  <c r="B190" i="1" l="1"/>
  <c r="E190" i="1" s="1"/>
  <c r="L204" i="1"/>
  <c r="K204" i="1"/>
  <c r="D190" i="1" l="1"/>
  <c r="C191" i="1" s="1"/>
  <c r="F191" i="1" s="1"/>
  <c r="J205" i="1"/>
  <c r="M205" i="1" s="1"/>
  <c r="B191" i="1" l="1"/>
  <c r="D191" i="1" s="1"/>
  <c r="C192" i="1" s="1"/>
  <c r="F192" i="1" s="1"/>
  <c r="I205" i="1"/>
  <c r="E191" i="1" l="1"/>
  <c r="L205" i="1"/>
  <c r="K205" i="1"/>
  <c r="B192" i="1"/>
  <c r="D192" i="1" s="1"/>
  <c r="C193" i="1" s="1"/>
  <c r="B193" i="1" s="1"/>
  <c r="E192" i="1" l="1"/>
  <c r="E193" i="1" s="1"/>
  <c r="J206" i="1"/>
  <c r="I206" i="1" s="1"/>
  <c r="L206" i="1" s="1"/>
  <c r="M206" i="1"/>
  <c r="D193" i="1"/>
  <c r="C194" i="1" s="1"/>
  <c r="B194" i="1" s="1"/>
  <c r="D194" i="1" s="1"/>
  <c r="F193" i="1"/>
  <c r="K206" i="1" l="1"/>
  <c r="E194" i="1"/>
  <c r="F194" i="1"/>
  <c r="C195" i="1"/>
  <c r="F195" i="1" l="1"/>
  <c r="J207" i="1"/>
  <c r="M207" i="1" s="1"/>
  <c r="I207" i="1"/>
  <c r="L207" i="1" s="1"/>
  <c r="B195" i="1"/>
  <c r="K207" i="1" l="1"/>
  <c r="J208" i="1" s="1"/>
  <c r="M208" i="1" s="1"/>
  <c r="E195" i="1"/>
  <c r="D195" i="1"/>
  <c r="I208" i="1" l="1"/>
  <c r="K208" i="1" s="1"/>
  <c r="J209" i="1" s="1"/>
  <c r="M209" i="1" s="1"/>
  <c r="L208" i="1"/>
  <c r="C196" i="1"/>
  <c r="B196" i="1" s="1"/>
  <c r="F196" i="1" l="1"/>
  <c r="I209" i="1"/>
  <c r="E196" i="1"/>
  <c r="D196" i="1"/>
  <c r="K209" i="1" l="1"/>
  <c r="J210" i="1" s="1"/>
  <c r="I210" i="1" s="1"/>
  <c r="K210" i="1" s="1"/>
  <c r="L209" i="1"/>
  <c r="M210" i="1"/>
  <c r="C197" i="1"/>
  <c r="B197" i="1" s="1"/>
  <c r="L210" i="1" l="1"/>
  <c r="J211" i="1"/>
  <c r="I211" i="1" s="1"/>
  <c r="K211" i="1" s="1"/>
  <c r="E197" i="1"/>
  <c r="D197" i="1"/>
  <c r="F197" i="1"/>
  <c r="M211" i="1" l="1"/>
  <c r="J212" i="1"/>
  <c r="I212" i="1" s="1"/>
  <c r="L211" i="1"/>
  <c r="C198" i="1"/>
  <c r="B198" i="1" s="1"/>
  <c r="K212" i="1" l="1"/>
  <c r="L212" i="1"/>
  <c r="M212" i="1"/>
  <c r="F198" i="1"/>
  <c r="D198" i="1"/>
  <c r="E198" i="1"/>
  <c r="J213" i="1" l="1"/>
  <c r="M213" i="1" s="1"/>
  <c r="C199" i="1"/>
  <c r="B199" i="1" s="1"/>
  <c r="I213" i="1" l="1"/>
  <c r="D199" i="1"/>
  <c r="C200" i="1" s="1"/>
  <c r="E199" i="1"/>
  <c r="F199" i="1"/>
  <c r="F200" i="1" l="1"/>
  <c r="L213" i="1"/>
  <c r="K213" i="1"/>
  <c r="B200" i="1"/>
  <c r="D200" i="1" s="1"/>
  <c r="C201" i="1" s="1"/>
  <c r="B201" i="1" s="1"/>
  <c r="J214" i="1" l="1"/>
  <c r="I214" i="1" s="1"/>
  <c r="E200" i="1"/>
  <c r="D201" i="1"/>
  <c r="E201" i="1"/>
  <c r="F201" i="1"/>
  <c r="K214" i="1" l="1"/>
  <c r="L214" i="1"/>
  <c r="M214" i="1"/>
  <c r="C202" i="1"/>
  <c r="F202" i="1" s="1"/>
  <c r="J215" i="1" l="1"/>
  <c r="I215" i="1" s="1"/>
  <c r="M215" i="1"/>
  <c r="B202" i="1"/>
  <c r="E202" i="1" s="1"/>
  <c r="K215" i="1" l="1"/>
  <c r="L215" i="1"/>
  <c r="D202" i="1"/>
  <c r="C203" i="1" s="1"/>
  <c r="B203" i="1" s="1"/>
  <c r="J216" i="1" l="1"/>
  <c r="I216" i="1" s="1"/>
  <c r="D203" i="1"/>
  <c r="C204" i="1" s="1"/>
  <c r="E203" i="1"/>
  <c r="F203" i="1"/>
  <c r="F204" i="1" l="1"/>
  <c r="K216" i="1"/>
  <c r="L216" i="1"/>
  <c r="M216" i="1"/>
  <c r="B204" i="1"/>
  <c r="J217" i="1" l="1"/>
  <c r="I217" i="1" s="1"/>
  <c r="K217" i="1" s="1"/>
  <c r="D204" i="1"/>
  <c r="C205" i="1" s="1"/>
  <c r="F205" i="1" s="1"/>
  <c r="E204" i="1"/>
  <c r="M217" i="1" l="1"/>
  <c r="L217" i="1"/>
  <c r="J218" i="1"/>
  <c r="B205" i="1"/>
  <c r="E205" i="1" s="1"/>
  <c r="M218" i="1" l="1"/>
  <c r="D205" i="1"/>
  <c r="C206" i="1" s="1"/>
  <c r="B206" i="1" s="1"/>
  <c r="I218" i="1"/>
  <c r="K218" i="1" l="1"/>
  <c r="L218" i="1"/>
  <c r="E206" i="1"/>
  <c r="D206" i="1"/>
  <c r="F206" i="1"/>
  <c r="J219" i="1" l="1"/>
  <c r="I219" i="1" s="1"/>
  <c r="M219" i="1"/>
  <c r="C207" i="1"/>
  <c r="B207" i="1" s="1"/>
  <c r="F207" i="1" l="1"/>
  <c r="K219" i="1"/>
  <c r="L219" i="1"/>
  <c r="E207" i="1"/>
  <c r="D207" i="1"/>
  <c r="J220" i="1" l="1"/>
  <c r="I220" i="1" s="1"/>
  <c r="C208" i="1"/>
  <c r="B208" i="1" s="1"/>
  <c r="K220" i="1" l="1"/>
  <c r="L220" i="1"/>
  <c r="M220" i="1"/>
  <c r="F208" i="1"/>
  <c r="J221" i="1"/>
  <c r="D208" i="1"/>
  <c r="E208" i="1"/>
  <c r="M221" i="1" l="1"/>
  <c r="I221" i="1"/>
  <c r="K221" i="1" s="1"/>
  <c r="J222" i="1" s="1"/>
  <c r="M222" i="1" s="1"/>
  <c r="C209" i="1"/>
  <c r="B209" i="1" s="1"/>
  <c r="L221" i="1" l="1"/>
  <c r="F209" i="1"/>
  <c r="I222" i="1"/>
  <c r="D209" i="1"/>
  <c r="E209" i="1"/>
  <c r="K222" i="1" l="1"/>
  <c r="L222" i="1"/>
  <c r="C210" i="1"/>
  <c r="B210" i="1" s="1"/>
  <c r="J223" i="1" l="1"/>
  <c r="M223" i="1" s="1"/>
  <c r="E210" i="1"/>
  <c r="D210" i="1"/>
  <c r="F210" i="1"/>
  <c r="I223" i="1" l="1"/>
  <c r="K223" i="1" s="1"/>
  <c r="J224" i="1" s="1"/>
  <c r="C211" i="1"/>
  <c r="F211" i="1" s="1"/>
  <c r="L223" i="1" l="1"/>
  <c r="M224" i="1"/>
  <c r="I224" i="1"/>
  <c r="K224" i="1" s="1"/>
  <c r="B211" i="1"/>
  <c r="D211" i="1" s="1"/>
  <c r="L224" i="1" l="1"/>
  <c r="J225" i="1"/>
  <c r="M225" i="1" s="1"/>
  <c r="C212" i="1"/>
  <c r="F212" i="1" s="1"/>
  <c r="E211" i="1"/>
  <c r="I225" i="1" l="1"/>
  <c r="K225" i="1" s="1"/>
  <c r="J226" i="1" s="1"/>
  <c r="I226" i="1" s="1"/>
  <c r="K226" i="1" s="1"/>
  <c r="L225" i="1"/>
  <c r="B212" i="1"/>
  <c r="D212" i="1" s="1"/>
  <c r="C213" i="1" s="1"/>
  <c r="B213" i="1" s="1"/>
  <c r="E212" i="1"/>
  <c r="M226" i="1"/>
  <c r="L226" i="1" l="1"/>
  <c r="F213" i="1"/>
  <c r="J227" i="1"/>
  <c r="M227" i="1" s="1"/>
  <c r="D213" i="1"/>
  <c r="E213" i="1"/>
  <c r="I227" i="1" l="1"/>
  <c r="C214" i="1"/>
  <c r="F214" i="1" s="1"/>
  <c r="K227" i="1" l="1"/>
  <c r="L227" i="1"/>
  <c r="B214" i="1"/>
  <c r="J228" i="1" l="1"/>
  <c r="I228" i="1" s="1"/>
  <c r="E214" i="1"/>
  <c r="D214" i="1"/>
  <c r="K228" i="1" l="1"/>
  <c r="J229" i="1" s="1"/>
  <c r="I229" i="1" s="1"/>
  <c r="L228" i="1"/>
  <c r="M228" i="1"/>
  <c r="C215" i="1"/>
  <c r="B215" i="1" s="1"/>
  <c r="M229" i="1" l="1"/>
  <c r="K229" i="1"/>
  <c r="J230" i="1" s="1"/>
  <c r="M230" i="1" s="1"/>
  <c r="L229" i="1"/>
  <c r="D215" i="1"/>
  <c r="E215" i="1"/>
  <c r="F215" i="1"/>
  <c r="I230" i="1" l="1"/>
  <c r="C216" i="1"/>
  <c r="F216" i="1" s="1"/>
  <c r="K230" i="1" l="1"/>
  <c r="L230" i="1"/>
  <c r="B216" i="1"/>
  <c r="J231" i="1" l="1"/>
  <c r="I231" i="1" s="1"/>
  <c r="M231" i="1"/>
  <c r="E216" i="1"/>
  <c r="D216" i="1"/>
  <c r="L231" i="1" l="1"/>
  <c r="K231" i="1"/>
  <c r="C217" i="1"/>
  <c r="F217" i="1" s="1"/>
  <c r="B217" i="1" l="1"/>
  <c r="J232" i="1"/>
  <c r="M232" i="1" s="1"/>
  <c r="D217" i="1"/>
  <c r="E217" i="1"/>
  <c r="I232" i="1" l="1"/>
  <c r="C218" i="1"/>
  <c r="F218" i="1" s="1"/>
  <c r="L232" i="1" l="1"/>
  <c r="K232" i="1"/>
  <c r="B218" i="1"/>
  <c r="D218" i="1" s="1"/>
  <c r="C219" i="1" s="1"/>
  <c r="B219" i="1" s="1"/>
  <c r="D219" i="1" s="1"/>
  <c r="E218" i="1" l="1"/>
  <c r="E219" i="1" s="1"/>
  <c r="J233" i="1"/>
  <c r="M233" i="1" s="1"/>
  <c r="C220" i="1"/>
  <c r="B220" i="1" s="1"/>
  <c r="D220" i="1" s="1"/>
  <c r="C221" i="1" s="1"/>
  <c r="B221" i="1" s="1"/>
  <c r="F219" i="1"/>
  <c r="I233" i="1" l="1"/>
  <c r="E220" i="1"/>
  <c r="F220" i="1"/>
  <c r="E221" i="1"/>
  <c r="D221" i="1"/>
  <c r="F221" i="1"/>
  <c r="K233" i="1" l="1"/>
  <c r="L233" i="1"/>
  <c r="C222" i="1"/>
  <c r="F222" i="1" s="1"/>
  <c r="J234" i="1" l="1"/>
  <c r="M234" i="1" s="1"/>
  <c r="B222" i="1"/>
  <c r="D222" i="1" s="1"/>
  <c r="C223" i="1" s="1"/>
  <c r="E222" i="1" l="1"/>
  <c r="I234" i="1"/>
  <c r="B223" i="1"/>
  <c r="E223" i="1" s="1"/>
  <c r="F223" i="1"/>
  <c r="D223" i="1" l="1"/>
  <c r="K234" i="1"/>
  <c r="L234" i="1"/>
  <c r="C224" i="1"/>
  <c r="B224" i="1" s="1"/>
  <c r="E224" i="1" s="1"/>
  <c r="F224" i="1" l="1"/>
  <c r="J235" i="1"/>
  <c r="I235" i="1" s="1"/>
  <c r="K235" i="1" s="1"/>
  <c r="M235" i="1"/>
  <c r="L235" i="1"/>
  <c r="D224" i="1"/>
  <c r="J236" i="1" l="1"/>
  <c r="M236" i="1" s="1"/>
  <c r="C225" i="1"/>
  <c r="F225" i="1" s="1"/>
  <c r="I236" i="1" l="1"/>
  <c r="B225" i="1"/>
  <c r="L236" i="1" l="1"/>
  <c r="K236" i="1"/>
  <c r="E225" i="1"/>
  <c r="D225" i="1"/>
  <c r="J237" i="1" l="1"/>
  <c r="M237" i="1" s="1"/>
  <c r="I237" i="1"/>
  <c r="K237" i="1" s="1"/>
  <c r="C226" i="1"/>
  <c r="B226" i="1" s="1"/>
  <c r="L237" i="1" l="1"/>
  <c r="J238" i="1"/>
  <c r="I238" i="1" s="1"/>
  <c r="M238" i="1"/>
  <c r="F226" i="1"/>
  <c r="D226" i="1"/>
  <c r="E226" i="1"/>
  <c r="K238" i="1" l="1"/>
  <c r="J239" i="1" s="1"/>
  <c r="I239" i="1" s="1"/>
  <c r="L238" i="1"/>
  <c r="C227" i="1"/>
  <c r="F227" i="1" s="1"/>
  <c r="L239" i="1" l="1"/>
  <c r="B227" i="1"/>
  <c r="D227" i="1" s="1"/>
  <c r="C228" i="1" s="1"/>
  <c r="B228" i="1" s="1"/>
  <c r="K239" i="1"/>
  <c r="J240" i="1" s="1"/>
  <c r="I240" i="1" s="1"/>
  <c r="M239" i="1"/>
  <c r="E227" i="1" l="1"/>
  <c r="L240" i="1"/>
  <c r="K240" i="1"/>
  <c r="J241" i="1" s="1"/>
  <c r="I241" i="1" s="1"/>
  <c r="M240" i="1"/>
  <c r="F228" i="1"/>
  <c r="E228" i="1"/>
  <c r="D228" i="1"/>
  <c r="L241" i="1" l="1"/>
  <c r="K241" i="1"/>
  <c r="J242" i="1" s="1"/>
  <c r="M241" i="1"/>
  <c r="C229" i="1"/>
  <c r="F229" i="1" s="1"/>
  <c r="M242" i="1" l="1"/>
  <c r="I242" i="1"/>
  <c r="K242" i="1" s="1"/>
  <c r="J243" i="1" s="1"/>
  <c r="B229" i="1"/>
  <c r="L242" i="1" l="1"/>
  <c r="I243" i="1"/>
  <c r="K243" i="1" s="1"/>
  <c r="J244" i="1" s="1"/>
  <c r="I244" i="1" s="1"/>
  <c r="M243" i="1"/>
  <c r="E229" i="1"/>
  <c r="D229" i="1"/>
  <c r="C230" i="1" s="1"/>
  <c r="B230" i="1" s="1"/>
  <c r="E230" i="1" l="1"/>
  <c r="L243" i="1"/>
  <c r="F230" i="1"/>
  <c r="D230" i="1"/>
  <c r="C231" i="1" s="1"/>
  <c r="B231" i="1" s="1"/>
  <c r="M244" i="1"/>
  <c r="K244" i="1"/>
  <c r="L244" i="1"/>
  <c r="F231" i="1" l="1"/>
  <c r="J245" i="1"/>
  <c r="M245" i="1"/>
  <c r="I245" i="1"/>
  <c r="K245" i="1" s="1"/>
  <c r="D231" i="1"/>
  <c r="E231" i="1"/>
  <c r="J246" i="1" l="1"/>
  <c r="M246" i="1"/>
  <c r="I246" i="1"/>
  <c r="K246" i="1" s="1"/>
  <c r="L245" i="1"/>
  <c r="C232" i="1"/>
  <c r="B232" i="1" s="1"/>
  <c r="J247" i="1" l="1"/>
  <c r="M247" i="1" s="1"/>
  <c r="L246" i="1"/>
  <c r="D232" i="1"/>
  <c r="E232" i="1"/>
  <c r="F232" i="1"/>
  <c r="I247" i="1" l="1"/>
  <c r="C233" i="1"/>
  <c r="F233" i="1" s="1"/>
  <c r="K247" i="1" l="1"/>
  <c r="L247" i="1"/>
  <c r="B233" i="1"/>
  <c r="E233" i="1" s="1"/>
  <c r="J248" i="1" l="1"/>
  <c r="M248" i="1"/>
  <c r="I248" i="1"/>
  <c r="K248" i="1" s="1"/>
  <c r="D233" i="1"/>
  <c r="C234" i="1" s="1"/>
  <c r="B234" i="1" s="1"/>
  <c r="L248" i="1" l="1"/>
  <c r="J249" i="1"/>
  <c r="I249" i="1" s="1"/>
  <c r="D234" i="1"/>
  <c r="E234" i="1"/>
  <c r="F234" i="1"/>
  <c r="K249" i="1" l="1"/>
  <c r="L249" i="1"/>
  <c r="M249" i="1"/>
  <c r="C235" i="1"/>
  <c r="B235" i="1" s="1"/>
  <c r="J250" i="1" l="1"/>
  <c r="M250" i="1" s="1"/>
  <c r="D235" i="1"/>
  <c r="E235" i="1"/>
  <c r="F235" i="1"/>
  <c r="I250" i="1" l="1"/>
  <c r="L250" i="1" s="1"/>
  <c r="C236" i="1"/>
  <c r="B236" i="1" s="1"/>
  <c r="K250" i="1" l="1"/>
  <c r="J251" i="1" s="1"/>
  <c r="M251" i="1" s="1"/>
  <c r="F236" i="1"/>
  <c r="D236" i="1"/>
  <c r="E236" i="1"/>
  <c r="I251" i="1" l="1"/>
  <c r="K251" i="1" s="1"/>
  <c r="L251" i="1"/>
  <c r="C237" i="1"/>
  <c r="F237" i="1" s="1"/>
  <c r="J252" i="1" l="1"/>
  <c r="I252" i="1" s="1"/>
  <c r="B237" i="1"/>
  <c r="K252" i="1" l="1"/>
  <c r="L252" i="1"/>
  <c r="M252" i="1"/>
  <c r="E237" i="1"/>
  <c r="D237" i="1"/>
  <c r="C238" i="1" s="1"/>
  <c r="F238" i="1" s="1"/>
  <c r="B238" i="1" l="1"/>
  <c r="E238" i="1" s="1"/>
  <c r="J253" i="1"/>
  <c r="I253" i="1" s="1"/>
  <c r="D238" i="1" l="1"/>
  <c r="C239" i="1" s="1"/>
  <c r="F239" i="1" s="1"/>
  <c r="K253" i="1"/>
  <c r="L253" i="1"/>
  <c r="M253" i="1"/>
  <c r="B239" i="1" l="1"/>
  <c r="D239" i="1" s="1"/>
  <c r="C240" i="1" s="1"/>
  <c r="F240" i="1" s="1"/>
  <c r="J254" i="1"/>
  <c r="I254" i="1" s="1"/>
  <c r="K254" i="1" s="1"/>
  <c r="B240" i="1" l="1"/>
  <c r="E239" i="1"/>
  <c r="E240" i="1" s="1"/>
  <c r="M254" i="1"/>
  <c r="D240" i="1"/>
  <c r="C241" i="1" s="1"/>
  <c r="F241" i="1" s="1"/>
  <c r="L254" i="1"/>
  <c r="J255" i="1"/>
  <c r="M255" i="1" s="1"/>
  <c r="I255" i="1" l="1"/>
  <c r="K255" i="1" s="1"/>
  <c r="J256" i="1" s="1"/>
  <c r="I256" i="1" s="1"/>
  <c r="B241" i="1"/>
  <c r="D241" i="1" s="1"/>
  <c r="C242" i="1" s="1"/>
  <c r="F242" i="1" s="1"/>
  <c r="L255" i="1"/>
  <c r="E241" i="1"/>
  <c r="B242" i="1" l="1"/>
  <c r="E242" i="1" s="1"/>
  <c r="K256" i="1"/>
  <c r="L256" i="1"/>
  <c r="M256" i="1"/>
  <c r="D242" i="1" l="1"/>
  <c r="C243" i="1" s="1"/>
  <c r="F243" i="1" s="1"/>
  <c r="J257" i="1"/>
  <c r="I257" i="1" s="1"/>
  <c r="M257" i="1" l="1"/>
  <c r="B243" i="1"/>
  <c r="D243" i="1" s="1"/>
  <c r="C244" i="1" s="1"/>
  <c r="B244" i="1" s="1"/>
  <c r="K257" i="1"/>
  <c r="L257" i="1"/>
  <c r="E243" i="1" l="1"/>
  <c r="J258" i="1"/>
  <c r="M258" i="1" s="1"/>
  <c r="D244" i="1"/>
  <c r="E244" i="1"/>
  <c r="F244" i="1"/>
  <c r="I258" i="1" l="1"/>
  <c r="C245" i="1"/>
  <c r="F245" i="1" s="1"/>
  <c r="K258" i="1" l="1"/>
  <c r="J259" i="1" s="1"/>
  <c r="M259" i="1" s="1"/>
  <c r="L258" i="1"/>
  <c r="B245" i="1"/>
  <c r="I259" i="1" l="1"/>
  <c r="K259" i="1"/>
  <c r="L259" i="1"/>
  <c r="D245" i="1"/>
  <c r="E245" i="1"/>
  <c r="J260" i="1" l="1"/>
  <c r="I260" i="1" s="1"/>
  <c r="C246" i="1"/>
  <c r="B246" i="1" s="1"/>
  <c r="M260" i="1" l="1"/>
  <c r="F246" i="1"/>
  <c r="K260" i="1"/>
  <c r="L260" i="1"/>
  <c r="D246" i="1"/>
  <c r="E246" i="1"/>
  <c r="J261" i="1" l="1"/>
  <c r="I261" i="1" s="1"/>
  <c r="M261" i="1"/>
  <c r="C247" i="1"/>
  <c r="F247" i="1" s="1"/>
  <c r="K261" i="1" l="1"/>
  <c r="J262" i="1" s="1"/>
  <c r="I262" i="1" s="1"/>
  <c r="L261" i="1"/>
  <c r="B247" i="1"/>
  <c r="L262" i="1" l="1"/>
  <c r="K262" i="1"/>
  <c r="M262" i="1"/>
  <c r="D247" i="1"/>
  <c r="E247" i="1"/>
  <c r="J263" i="1" l="1"/>
  <c r="I263" i="1" s="1"/>
  <c r="C248" i="1"/>
  <c r="F248" i="1" s="1"/>
  <c r="B248" i="1" l="1"/>
  <c r="D248" i="1" s="1"/>
  <c r="C249" i="1" s="1"/>
  <c r="F249" i="1" s="1"/>
  <c r="K263" i="1"/>
  <c r="L263" i="1"/>
  <c r="M263" i="1"/>
  <c r="E248" i="1" l="1"/>
  <c r="J264" i="1"/>
  <c r="I264" i="1" s="1"/>
  <c r="B249" i="1"/>
  <c r="K264" i="1" l="1"/>
  <c r="L264" i="1"/>
  <c r="M264" i="1"/>
  <c r="E249" i="1"/>
  <c r="D249" i="1"/>
  <c r="J265" i="1" l="1"/>
  <c r="I265" i="1" s="1"/>
  <c r="C250" i="1"/>
  <c r="B250" i="1" s="1"/>
  <c r="D250" i="1" s="1"/>
  <c r="E250" i="1" l="1"/>
  <c r="F250" i="1"/>
  <c r="K265" i="1"/>
  <c r="J266" i="1" s="1"/>
  <c r="I266" i="1" s="1"/>
  <c r="L265" i="1"/>
  <c r="M265" i="1"/>
  <c r="C251" i="1"/>
  <c r="B251" i="1" s="1"/>
  <c r="M266" i="1" l="1"/>
  <c r="F251" i="1"/>
  <c r="K266" i="1"/>
  <c r="L266" i="1"/>
  <c r="E251" i="1"/>
  <c r="D251" i="1"/>
  <c r="J267" i="1" l="1"/>
  <c r="I267" i="1" s="1"/>
  <c r="C252" i="1"/>
  <c r="F252" i="1" s="1"/>
  <c r="L267" i="1" l="1"/>
  <c r="K267" i="1"/>
  <c r="J268" i="1" s="1"/>
  <c r="I268" i="1" s="1"/>
  <c r="M267" i="1"/>
  <c r="B252" i="1"/>
  <c r="E252" i="1" s="1"/>
  <c r="D252" i="1" l="1"/>
  <c r="C253" i="1" s="1"/>
  <c r="F253" i="1" s="1"/>
  <c r="K268" i="1"/>
  <c r="L268" i="1"/>
  <c r="M268" i="1"/>
  <c r="J269" i="1" l="1"/>
  <c r="M269" i="1" s="1"/>
  <c r="I269" i="1"/>
  <c r="K269" i="1" s="1"/>
  <c r="B253" i="1"/>
  <c r="L269" i="1" l="1"/>
  <c r="J270" i="1"/>
  <c r="M270" i="1" s="1"/>
  <c r="E253" i="1"/>
  <c r="D253" i="1"/>
  <c r="I270" i="1" l="1"/>
  <c r="C254" i="1"/>
  <c r="F254" i="1" s="1"/>
  <c r="K270" i="1" l="1"/>
  <c r="J271" i="1" s="1"/>
  <c r="I271" i="1" s="1"/>
  <c r="L270" i="1"/>
  <c r="B254" i="1"/>
  <c r="M271" i="1" l="1"/>
  <c r="K271" i="1"/>
  <c r="J272" i="1" s="1"/>
  <c r="I272" i="1" s="1"/>
  <c r="K272" i="1" s="1"/>
  <c r="L271" i="1"/>
  <c r="D254" i="1"/>
  <c r="E254" i="1"/>
  <c r="M272" i="1" l="1"/>
  <c r="L272" i="1"/>
  <c r="J273" i="1"/>
  <c r="M273" i="1" s="1"/>
  <c r="C255" i="1"/>
  <c r="B255" i="1" s="1"/>
  <c r="E255" i="1" s="1"/>
  <c r="D255" i="1" l="1"/>
  <c r="C256" i="1" s="1"/>
  <c r="B256" i="1" s="1"/>
  <c r="D256" i="1" s="1"/>
  <c r="F255" i="1"/>
  <c r="I273" i="1"/>
  <c r="E256" i="1" l="1"/>
  <c r="F256" i="1"/>
  <c r="K273" i="1"/>
  <c r="L273" i="1"/>
  <c r="C257" i="1"/>
  <c r="F257" i="1" s="1"/>
  <c r="J274" i="1" l="1"/>
  <c r="M274" i="1" s="1"/>
  <c r="I274" i="1"/>
  <c r="K274" i="1" s="1"/>
  <c r="B257" i="1"/>
  <c r="J275" i="1" l="1"/>
  <c r="I275" i="1" s="1"/>
  <c r="K275" i="1" s="1"/>
  <c r="L274" i="1"/>
  <c r="D257" i="1"/>
  <c r="E257" i="1"/>
  <c r="L275" i="1" l="1"/>
  <c r="M275" i="1"/>
  <c r="J276" i="1"/>
  <c r="I276" i="1" s="1"/>
  <c r="C258" i="1"/>
  <c r="B258" i="1" s="1"/>
  <c r="D258" i="1" s="1"/>
  <c r="F258" i="1" l="1"/>
  <c r="E258" i="1"/>
  <c r="M276" i="1"/>
  <c r="K276" i="1"/>
  <c r="L276" i="1"/>
  <c r="C259" i="1"/>
  <c r="F259" i="1" s="1"/>
  <c r="J277" i="1" l="1"/>
  <c r="I277" i="1" s="1"/>
  <c r="K277" i="1" s="1"/>
  <c r="M277" i="1"/>
  <c r="B259" i="1"/>
  <c r="J278" i="1" l="1"/>
  <c r="M278" i="1" s="1"/>
  <c r="L277" i="1"/>
  <c r="D259" i="1"/>
  <c r="E259" i="1"/>
  <c r="I278" i="1" l="1"/>
  <c r="C260" i="1"/>
  <c r="B260" i="1" s="1"/>
  <c r="E260" i="1" s="1"/>
  <c r="D260" i="1" l="1"/>
  <c r="C261" i="1" s="1"/>
  <c r="B261" i="1" s="1"/>
  <c r="L278" i="1"/>
  <c r="K278" i="1"/>
  <c r="F260" i="1"/>
  <c r="D261" i="1" l="1"/>
  <c r="E261" i="1"/>
  <c r="F261" i="1"/>
  <c r="J279" i="1"/>
  <c r="M279" i="1" s="1"/>
  <c r="I279" i="1"/>
  <c r="K279" i="1" s="1"/>
  <c r="L279" i="1" l="1"/>
  <c r="C262" i="1"/>
  <c r="B262" i="1" s="1"/>
  <c r="E262" i="1" s="1"/>
  <c r="J280" i="1"/>
  <c r="I280" i="1" s="1"/>
  <c r="K280" i="1" s="1"/>
  <c r="M280" i="1"/>
  <c r="L280" i="1" l="1"/>
  <c r="F262" i="1"/>
  <c r="D262" i="1"/>
  <c r="C263" i="1" s="1"/>
  <c r="F263" i="1" s="1"/>
  <c r="J281" i="1"/>
  <c r="M281" i="1" s="1"/>
  <c r="B263" i="1" l="1"/>
  <c r="D263" i="1" s="1"/>
  <c r="C264" i="1" s="1"/>
  <c r="B264" i="1" s="1"/>
  <c r="I281" i="1"/>
  <c r="F264" i="1" l="1"/>
  <c r="D264" i="1"/>
  <c r="C265" i="1" s="1"/>
  <c r="F265" i="1" s="1"/>
  <c r="E263" i="1"/>
  <c r="E264" i="1" s="1"/>
  <c r="K281" i="1"/>
  <c r="L281" i="1"/>
  <c r="J282" i="1" l="1"/>
  <c r="I282" i="1" s="1"/>
  <c r="B265" i="1"/>
  <c r="M282" i="1" l="1"/>
  <c r="K282" i="1"/>
  <c r="L282" i="1"/>
  <c r="E265" i="1"/>
  <c r="D265" i="1"/>
  <c r="J283" i="1" l="1"/>
  <c r="I283" i="1" s="1"/>
  <c r="C266" i="1"/>
  <c r="B266" i="1" s="1"/>
  <c r="E266" i="1" s="1"/>
  <c r="M283" i="1" l="1"/>
  <c r="K283" i="1"/>
  <c r="L283" i="1"/>
  <c r="D266" i="1"/>
  <c r="C267" i="1" s="1"/>
  <c r="B267" i="1" s="1"/>
  <c r="F266" i="1"/>
  <c r="F267" i="1" l="1"/>
  <c r="J284" i="1"/>
  <c r="M284" i="1"/>
  <c r="I284" i="1"/>
  <c r="L284" i="1" s="1"/>
  <c r="D267" i="1"/>
  <c r="E267" i="1"/>
  <c r="K284" i="1" l="1"/>
  <c r="J285" i="1" s="1"/>
  <c r="I285" i="1" s="1"/>
  <c r="C268" i="1"/>
  <c r="F268" i="1" s="1"/>
  <c r="M285" i="1" l="1"/>
  <c r="B268" i="1"/>
  <c r="E268" i="1" s="1"/>
  <c r="K285" i="1"/>
  <c r="L285" i="1"/>
  <c r="D268" i="1" l="1"/>
  <c r="C269" i="1" s="1"/>
  <c r="F269" i="1" s="1"/>
  <c r="J286" i="1"/>
  <c r="I286" i="1" s="1"/>
  <c r="M286" i="1"/>
  <c r="B269" i="1" l="1"/>
  <c r="D269" i="1" s="1"/>
  <c r="C270" i="1" s="1"/>
  <c r="E269" i="1"/>
  <c r="B270" i="1"/>
  <c r="D270" i="1" s="1"/>
  <c r="C271" i="1" s="1"/>
  <c r="B271" i="1" s="1"/>
  <c r="F270" i="1"/>
  <c r="K286" i="1"/>
  <c r="L286" i="1"/>
  <c r="E270" i="1"/>
  <c r="E271" i="1" l="1"/>
  <c r="D271" i="1"/>
  <c r="C272" i="1" s="1"/>
  <c r="B272" i="1" s="1"/>
  <c r="F271" i="1"/>
  <c r="J287" i="1"/>
  <c r="I287" i="1" s="1"/>
  <c r="M287" i="1" l="1"/>
  <c r="F272" i="1"/>
  <c r="K287" i="1"/>
  <c r="L287" i="1"/>
  <c r="E272" i="1"/>
  <c r="D272" i="1"/>
  <c r="J288" i="1" l="1"/>
  <c r="I288" i="1" s="1"/>
  <c r="C273" i="1"/>
  <c r="F273" i="1" s="1"/>
  <c r="M288" i="1" l="1"/>
  <c r="K288" i="1"/>
  <c r="L288" i="1"/>
  <c r="B273" i="1"/>
  <c r="D273" i="1" s="1"/>
  <c r="C274" i="1" s="1"/>
  <c r="B274" i="1" s="1"/>
  <c r="D274" i="1" l="1"/>
  <c r="C275" i="1" s="1"/>
  <c r="B275" i="1" s="1"/>
  <c r="F274" i="1"/>
  <c r="J289" i="1"/>
  <c r="I289" i="1"/>
  <c r="L289" i="1" s="1"/>
  <c r="M289" i="1"/>
  <c r="E273" i="1"/>
  <c r="E274" i="1" s="1"/>
  <c r="F275" i="1" l="1"/>
  <c r="K289" i="1"/>
  <c r="J290" i="1" s="1"/>
  <c r="M290" i="1" s="1"/>
  <c r="E275" i="1"/>
  <c r="D275" i="1"/>
  <c r="I290" i="1" l="1"/>
  <c r="C276" i="1"/>
  <c r="F276" i="1" s="1"/>
  <c r="B276" i="1"/>
  <c r="E276" i="1" s="1"/>
  <c r="K290" i="1" l="1"/>
  <c r="L290" i="1"/>
  <c r="D276" i="1"/>
  <c r="J291" i="1" l="1"/>
  <c r="M291" i="1" s="1"/>
  <c r="C277" i="1"/>
  <c r="F277" i="1" s="1"/>
  <c r="I291" i="1" l="1"/>
  <c r="K291" i="1" s="1"/>
  <c r="J292" i="1" s="1"/>
  <c r="I292" i="1" s="1"/>
  <c r="L291" i="1"/>
  <c r="B277" i="1"/>
  <c r="M292" i="1" l="1"/>
  <c r="K292" i="1"/>
  <c r="L292" i="1"/>
  <c r="D277" i="1"/>
  <c r="E277" i="1"/>
  <c r="J293" i="1" l="1"/>
  <c r="I293" i="1" s="1"/>
  <c r="K293" i="1" s="1"/>
  <c r="M293" i="1"/>
  <c r="C278" i="1"/>
  <c r="F278" i="1" s="1"/>
  <c r="L293" i="1" l="1"/>
  <c r="J294" i="1"/>
  <c r="M294" i="1" s="1"/>
  <c r="B278" i="1"/>
  <c r="I294" i="1" l="1"/>
  <c r="K294" i="1" s="1"/>
  <c r="J295" i="1" s="1"/>
  <c r="M295" i="1" s="1"/>
  <c r="E278" i="1"/>
  <c r="D278" i="1"/>
  <c r="L294" i="1" l="1"/>
  <c r="I295" i="1"/>
  <c r="C279" i="1"/>
  <c r="B279" i="1" s="1"/>
  <c r="K295" i="1" l="1"/>
  <c r="L295" i="1"/>
  <c r="D279" i="1"/>
  <c r="E279" i="1"/>
  <c r="F279" i="1"/>
  <c r="J296" i="1" l="1"/>
  <c r="I296" i="1" s="1"/>
  <c r="C280" i="1"/>
  <c r="F280" i="1" s="1"/>
  <c r="K296" i="1" l="1"/>
  <c r="L296" i="1"/>
  <c r="M296" i="1"/>
  <c r="B280" i="1"/>
  <c r="J297" i="1" l="1"/>
  <c r="M297" i="1" s="1"/>
  <c r="E280" i="1"/>
  <c r="D280" i="1"/>
  <c r="I297" i="1" l="1"/>
  <c r="C281" i="1"/>
  <c r="F281" i="1" s="1"/>
  <c r="B281" i="1" l="1"/>
  <c r="D281" i="1" s="1"/>
  <c r="C282" i="1" s="1"/>
  <c r="F282" i="1" s="1"/>
  <c r="L297" i="1"/>
  <c r="K297" i="1"/>
  <c r="E281" i="1" l="1"/>
  <c r="J298" i="1"/>
  <c r="M298" i="1" s="1"/>
  <c r="B282" i="1"/>
  <c r="D282" i="1" s="1"/>
  <c r="C283" i="1" s="1"/>
  <c r="F283" i="1" s="1"/>
  <c r="I298" i="1" l="1"/>
  <c r="K298" i="1" s="1"/>
  <c r="J299" i="1" s="1"/>
  <c r="M299" i="1" s="1"/>
  <c r="L298" i="1"/>
  <c r="E282" i="1"/>
  <c r="B283" i="1"/>
  <c r="I299" i="1" l="1"/>
  <c r="K299" i="1" s="1"/>
  <c r="J300" i="1" s="1"/>
  <c r="L299" i="1"/>
  <c r="E283" i="1"/>
  <c r="D283" i="1"/>
  <c r="I300" i="1" l="1"/>
  <c r="K300" i="1" s="1"/>
  <c r="M300" i="1"/>
  <c r="L300" i="1"/>
  <c r="C284" i="1"/>
  <c r="F284" i="1" s="1"/>
  <c r="J301" i="1" l="1"/>
  <c r="I301" i="1" s="1"/>
  <c r="B284" i="1"/>
  <c r="K301" i="1" l="1"/>
  <c r="L301" i="1"/>
  <c r="M301" i="1"/>
  <c r="D284" i="1"/>
  <c r="E284" i="1"/>
  <c r="J302" i="1" l="1"/>
  <c r="I302" i="1" s="1"/>
  <c r="C285" i="1"/>
  <c r="B285" i="1" s="1"/>
  <c r="L302" i="1" l="1"/>
  <c r="K302" i="1"/>
  <c r="M302" i="1"/>
  <c r="F285" i="1"/>
  <c r="E285" i="1"/>
  <c r="D285" i="1"/>
  <c r="J303" i="1" l="1"/>
  <c r="M303" i="1"/>
  <c r="I303" i="1"/>
  <c r="K303" i="1" s="1"/>
  <c r="C286" i="1"/>
  <c r="B286" i="1" s="1"/>
  <c r="J304" i="1" l="1"/>
  <c r="M304" i="1" s="1"/>
  <c r="L303" i="1"/>
  <c r="D286" i="1"/>
  <c r="C287" i="1" s="1"/>
  <c r="E286" i="1"/>
  <c r="F286" i="1"/>
  <c r="I304" i="1" l="1"/>
  <c r="L304" i="1" s="1"/>
  <c r="F287" i="1"/>
  <c r="B287" i="1"/>
  <c r="K304" i="1" l="1"/>
  <c r="J305" i="1" s="1"/>
  <c r="M305" i="1" s="1"/>
  <c r="E287" i="1"/>
  <c r="D287" i="1"/>
  <c r="I305" i="1" l="1"/>
  <c r="C288" i="1"/>
  <c r="B288" i="1" s="1"/>
  <c r="K305" i="1" l="1"/>
  <c r="L305" i="1"/>
  <c r="E288" i="1"/>
  <c r="D288" i="1"/>
  <c r="F288" i="1"/>
  <c r="J306" i="1" l="1"/>
  <c r="I306" i="1" s="1"/>
  <c r="M306" i="1"/>
  <c r="C289" i="1"/>
  <c r="F289" i="1" s="1"/>
  <c r="K306" i="1" l="1"/>
  <c r="L306" i="1"/>
  <c r="B289" i="1"/>
  <c r="J307" i="1" l="1"/>
  <c r="I307" i="1" s="1"/>
  <c r="K307" i="1" s="1"/>
  <c r="D289" i="1"/>
  <c r="E289" i="1"/>
  <c r="J308" i="1" l="1"/>
  <c r="I308" i="1" s="1"/>
  <c r="L307" i="1"/>
  <c r="M307" i="1"/>
  <c r="M308" i="1" s="1"/>
  <c r="C290" i="1"/>
  <c r="F290" i="1" s="1"/>
  <c r="K308" i="1" l="1"/>
  <c r="J309" i="1" s="1"/>
  <c r="I309" i="1" s="1"/>
  <c r="L308" i="1"/>
  <c r="B290" i="1"/>
  <c r="K309" i="1" l="1"/>
  <c r="L309" i="1"/>
  <c r="M309" i="1"/>
  <c r="E290" i="1"/>
  <c r="D290" i="1"/>
  <c r="J310" i="1" l="1"/>
  <c r="M310" i="1" s="1"/>
  <c r="C291" i="1"/>
  <c r="B291" i="1" s="1"/>
  <c r="F291" i="1" l="1"/>
  <c r="I310" i="1"/>
  <c r="K310" i="1" s="1"/>
  <c r="J311" i="1" s="1"/>
  <c r="I311" i="1" s="1"/>
  <c r="L310" i="1"/>
  <c r="E291" i="1"/>
  <c r="D291" i="1"/>
  <c r="K311" i="1" l="1"/>
  <c r="L311" i="1"/>
  <c r="M311" i="1"/>
  <c r="C292" i="1"/>
  <c r="F292" i="1" s="1"/>
  <c r="J312" i="1" l="1"/>
  <c r="I312" i="1" s="1"/>
  <c r="B292" i="1"/>
  <c r="K312" i="1" l="1"/>
  <c r="L312" i="1"/>
  <c r="M312" i="1"/>
  <c r="E292" i="1"/>
  <c r="D292" i="1"/>
  <c r="J313" i="1" l="1"/>
  <c r="M313" i="1" s="1"/>
  <c r="C293" i="1"/>
  <c r="F293" i="1" s="1"/>
  <c r="I313" i="1" l="1"/>
  <c r="B293" i="1"/>
  <c r="D293" i="1" s="1"/>
  <c r="C294" i="1" s="1"/>
  <c r="B294" i="1" s="1"/>
  <c r="D294" i="1" s="1"/>
  <c r="E293" i="1" l="1"/>
  <c r="F294" i="1"/>
  <c r="K313" i="1"/>
  <c r="L313" i="1"/>
  <c r="C295" i="1"/>
  <c r="B295" i="1" s="1"/>
  <c r="E294" i="1"/>
  <c r="J314" i="1" l="1"/>
  <c r="I314" i="1" s="1"/>
  <c r="D295" i="1"/>
  <c r="E295" i="1"/>
  <c r="F295" i="1"/>
  <c r="K314" i="1" l="1"/>
  <c r="L314" i="1"/>
  <c r="M314" i="1"/>
  <c r="C296" i="1"/>
  <c r="F296" i="1" s="1"/>
  <c r="J315" i="1" l="1"/>
  <c r="I315" i="1" s="1"/>
  <c r="B296" i="1"/>
  <c r="K315" i="1" l="1"/>
  <c r="L315" i="1"/>
  <c r="M315" i="1"/>
  <c r="E296" i="1"/>
  <c r="D296" i="1"/>
  <c r="J316" i="1" l="1"/>
  <c r="M316" i="1" s="1"/>
  <c r="C297" i="1"/>
  <c r="F297" i="1" s="1"/>
  <c r="I316" i="1" l="1"/>
  <c r="B297" i="1"/>
  <c r="D297" i="1" s="1"/>
  <c r="C298" i="1" s="1"/>
  <c r="F298" i="1" s="1"/>
  <c r="E297" i="1" l="1"/>
  <c r="K316" i="1"/>
  <c r="L316" i="1"/>
  <c r="B298" i="1"/>
  <c r="D298" i="1" s="1"/>
  <c r="C299" i="1" s="1"/>
  <c r="F299" i="1" s="1"/>
  <c r="J317" i="1" l="1"/>
  <c r="M317" i="1" s="1"/>
  <c r="E298" i="1"/>
  <c r="B299" i="1"/>
  <c r="I317" i="1" l="1"/>
  <c r="K317" i="1" s="1"/>
  <c r="J318" i="1" s="1"/>
  <c r="M318" i="1" s="1"/>
  <c r="L317" i="1"/>
  <c r="D299" i="1"/>
  <c r="E299" i="1"/>
  <c r="I318" i="1" l="1"/>
  <c r="K318" i="1" s="1"/>
  <c r="J319" i="1" s="1"/>
  <c r="I319" i="1" s="1"/>
  <c r="L318" i="1"/>
  <c r="C300" i="1"/>
  <c r="B300" i="1" s="1"/>
  <c r="F300" i="1" l="1"/>
  <c r="K319" i="1"/>
  <c r="L319" i="1"/>
  <c r="M319" i="1"/>
  <c r="E300" i="1"/>
  <c r="D300" i="1"/>
  <c r="J320" i="1" l="1"/>
  <c r="M320" i="1" s="1"/>
  <c r="C301" i="1"/>
  <c r="B301" i="1" s="1"/>
  <c r="I320" i="1" l="1"/>
  <c r="E301" i="1"/>
  <c r="D301" i="1"/>
  <c r="F301" i="1"/>
  <c r="K320" i="1" l="1"/>
  <c r="L320" i="1"/>
  <c r="C302" i="1"/>
  <c r="F302" i="1" s="1"/>
  <c r="B302" i="1" l="1"/>
  <c r="D302" i="1" s="1"/>
  <c r="C303" i="1" s="1"/>
  <c r="B303" i="1" s="1"/>
  <c r="J321" i="1"/>
  <c r="I321" i="1" s="1"/>
  <c r="M321" i="1"/>
  <c r="E302" i="1" l="1"/>
  <c r="E303" i="1" s="1"/>
  <c r="K321" i="1"/>
  <c r="L321" i="1"/>
  <c r="F303" i="1"/>
  <c r="D303" i="1"/>
  <c r="J322" i="1" l="1"/>
  <c r="M322" i="1" s="1"/>
  <c r="I322" i="1"/>
  <c r="K322" i="1" s="1"/>
  <c r="C304" i="1"/>
  <c r="F304" i="1" s="1"/>
  <c r="B304" i="1" l="1"/>
  <c r="D304" i="1" s="1"/>
  <c r="J323" i="1"/>
  <c r="I323" i="1" s="1"/>
  <c r="L322" i="1"/>
  <c r="E304" i="1"/>
  <c r="C305" i="1"/>
  <c r="B305" i="1" s="1"/>
  <c r="M323" i="1" l="1"/>
  <c r="F305" i="1"/>
  <c r="K323" i="1"/>
  <c r="L323" i="1"/>
  <c r="D305" i="1"/>
  <c r="E305" i="1"/>
  <c r="J324" i="1" l="1"/>
  <c r="M324" i="1" s="1"/>
  <c r="C306" i="1"/>
  <c r="B306" i="1" s="1"/>
  <c r="I324" i="1" l="1"/>
  <c r="D306" i="1"/>
  <c r="E306" i="1"/>
  <c r="F306" i="1"/>
  <c r="K324" i="1" l="1"/>
  <c r="L324" i="1"/>
  <c r="C307" i="1"/>
  <c r="F307" i="1" s="1"/>
  <c r="J325" i="1" l="1"/>
  <c r="M325" i="1" s="1"/>
  <c r="B307" i="1"/>
  <c r="E307" i="1" s="1"/>
  <c r="I325" i="1" l="1"/>
  <c r="K325" i="1" s="1"/>
  <c r="J326" i="1" s="1"/>
  <c r="M326" i="1" s="1"/>
  <c r="D307" i="1"/>
  <c r="C308" i="1" s="1"/>
  <c r="B308" i="1" s="1"/>
  <c r="L325" i="1"/>
  <c r="I326" i="1" l="1"/>
  <c r="E308" i="1"/>
  <c r="D308" i="1"/>
  <c r="F308" i="1"/>
  <c r="K326" i="1" l="1"/>
  <c r="L326" i="1"/>
  <c r="C309" i="1"/>
  <c r="B309" i="1" s="1"/>
  <c r="F309" i="1" l="1"/>
  <c r="J327" i="1"/>
  <c r="M327" i="1" s="1"/>
  <c r="D309" i="1"/>
  <c r="E309" i="1"/>
  <c r="I327" i="1" l="1"/>
  <c r="C310" i="1"/>
  <c r="B310" i="1" s="1"/>
  <c r="K327" i="1" l="1"/>
  <c r="L327" i="1"/>
  <c r="E310" i="1"/>
  <c r="D310" i="1"/>
  <c r="F310" i="1"/>
  <c r="J328" i="1" l="1"/>
  <c r="M328" i="1" s="1"/>
  <c r="C311" i="1"/>
  <c r="B311" i="1" s="1"/>
  <c r="I328" i="1" l="1"/>
  <c r="D311" i="1"/>
  <c r="E311" i="1"/>
  <c r="F311" i="1"/>
  <c r="K328" i="1" l="1"/>
  <c r="L328" i="1"/>
  <c r="C312" i="1"/>
  <c r="B312" i="1" s="1"/>
  <c r="E312" i="1" s="1"/>
  <c r="F312" i="1" l="1"/>
  <c r="D312" i="1"/>
  <c r="C313" i="1" s="1"/>
  <c r="B313" i="1" s="1"/>
  <c r="E313" i="1" s="1"/>
  <c r="J329" i="1"/>
  <c r="M329" i="1" s="1"/>
  <c r="F313" i="1" l="1"/>
  <c r="I329" i="1"/>
  <c r="K329" i="1" s="1"/>
  <c r="J330" i="1" s="1"/>
  <c r="M330" i="1" s="1"/>
  <c r="L329" i="1"/>
  <c r="D313" i="1"/>
  <c r="I330" i="1" l="1"/>
  <c r="C314" i="1"/>
  <c r="B314" i="1" s="1"/>
  <c r="F314" i="1" l="1"/>
  <c r="K330" i="1"/>
  <c r="L330" i="1"/>
  <c r="D314" i="1"/>
  <c r="E314" i="1"/>
  <c r="J331" i="1" l="1"/>
  <c r="I331" i="1" s="1"/>
  <c r="C315" i="1"/>
  <c r="B315" i="1" s="1"/>
  <c r="F315" i="1" l="1"/>
  <c r="M331" i="1"/>
  <c r="L331" i="1"/>
  <c r="K331" i="1"/>
  <c r="D315" i="1"/>
  <c r="C316" i="1" s="1"/>
  <c r="F316" i="1" s="1"/>
  <c r="E315" i="1"/>
  <c r="B316" i="1" l="1"/>
  <c r="E316" i="1" s="1"/>
  <c r="J332" i="1"/>
  <c r="M332" i="1" s="1"/>
  <c r="D316" i="1" l="1"/>
  <c r="C317" i="1" s="1"/>
  <c r="F317" i="1" s="1"/>
  <c r="I332" i="1"/>
  <c r="K332" i="1" s="1"/>
  <c r="J333" i="1" s="1"/>
  <c r="I333" i="1" s="1"/>
  <c r="B317" i="1"/>
  <c r="D317" i="1" s="1"/>
  <c r="C318" i="1" s="1"/>
  <c r="F318" i="1" s="1"/>
  <c r="L332" i="1"/>
  <c r="E317" i="1" l="1"/>
  <c r="M333" i="1"/>
  <c r="K333" i="1"/>
  <c r="J334" i="1" s="1"/>
  <c r="M334" i="1" s="1"/>
  <c r="L333" i="1"/>
  <c r="B318" i="1"/>
  <c r="D318" i="1" s="1"/>
  <c r="C319" i="1" s="1"/>
  <c r="F319" i="1" s="1"/>
  <c r="I334" i="1" l="1"/>
  <c r="K334" i="1" s="1"/>
  <c r="J335" i="1" s="1"/>
  <c r="I335" i="1" s="1"/>
  <c r="B319" i="1"/>
  <c r="D319" i="1" s="1"/>
  <c r="C320" i="1" s="1"/>
  <c r="E318" i="1"/>
  <c r="E319" i="1" s="1"/>
  <c r="L334" i="1" l="1"/>
  <c r="B320" i="1"/>
  <c r="D320" i="1" s="1"/>
  <c r="C321" i="1" s="1"/>
  <c r="B321" i="1" s="1"/>
  <c r="F320" i="1"/>
  <c r="K335" i="1"/>
  <c r="L335" i="1"/>
  <c r="M335" i="1"/>
  <c r="E320" i="1"/>
  <c r="J336" i="1" l="1"/>
  <c r="M336" i="1" s="1"/>
  <c r="F321" i="1"/>
  <c r="E321" i="1"/>
  <c r="D321" i="1"/>
  <c r="I336" i="1" l="1"/>
  <c r="K336" i="1" s="1"/>
  <c r="J337" i="1" s="1"/>
  <c r="M337" i="1" s="1"/>
  <c r="L336" i="1"/>
  <c r="C322" i="1"/>
  <c r="F322" i="1" s="1"/>
  <c r="I337" i="1" l="1"/>
  <c r="B322" i="1"/>
  <c r="K337" i="1" l="1"/>
  <c r="L337" i="1"/>
  <c r="D322" i="1"/>
  <c r="E322" i="1"/>
  <c r="J338" i="1" l="1"/>
  <c r="I338" i="1" s="1"/>
  <c r="C323" i="1"/>
  <c r="B323" i="1" s="1"/>
  <c r="E323" i="1" s="1"/>
  <c r="F323" i="1" l="1"/>
  <c r="M338" i="1"/>
  <c r="K338" i="1"/>
  <c r="L338" i="1"/>
  <c r="D323" i="1"/>
  <c r="J339" i="1" l="1"/>
  <c r="I339" i="1" s="1"/>
  <c r="C324" i="1"/>
  <c r="F324" i="1" s="1"/>
  <c r="B324" i="1" l="1"/>
  <c r="D324" i="1" s="1"/>
  <c r="C325" i="1" s="1"/>
  <c r="F325" i="1" s="1"/>
  <c r="K339" i="1"/>
  <c r="L339" i="1"/>
  <c r="M339" i="1"/>
  <c r="E324" i="1" l="1"/>
  <c r="J340" i="1"/>
  <c r="I340" i="1" s="1"/>
  <c r="B325" i="1"/>
  <c r="M340" i="1" l="1"/>
  <c r="K340" i="1"/>
  <c r="L340" i="1"/>
  <c r="E325" i="1"/>
  <c r="D325" i="1"/>
  <c r="J341" i="1" l="1"/>
  <c r="I341" i="1" s="1"/>
  <c r="C326" i="1"/>
  <c r="F326" i="1" s="1"/>
  <c r="M341" i="1" l="1"/>
  <c r="B326" i="1"/>
  <c r="E326" i="1" s="1"/>
  <c r="K341" i="1"/>
  <c r="L341" i="1"/>
  <c r="D326" i="1" l="1"/>
  <c r="C327" i="1" s="1"/>
  <c r="B327" i="1" s="1"/>
  <c r="E327" i="1" s="1"/>
  <c r="J342" i="1"/>
  <c r="M342" i="1" s="1"/>
  <c r="F327" i="1" l="1"/>
  <c r="D327" i="1"/>
  <c r="C328" i="1" s="1"/>
  <c r="B328" i="1" s="1"/>
  <c r="I342" i="1"/>
  <c r="F328" i="1" l="1"/>
  <c r="D328" i="1"/>
  <c r="C329" i="1" s="1"/>
  <c r="B329" i="1" s="1"/>
  <c r="E328" i="1"/>
  <c r="K342" i="1"/>
  <c r="L342" i="1"/>
  <c r="F329" i="1" l="1"/>
  <c r="J343" i="1"/>
  <c r="M343" i="1" s="1"/>
  <c r="E329" i="1"/>
  <c r="D329" i="1"/>
  <c r="I343" i="1" l="1"/>
  <c r="L343" i="1" s="1"/>
  <c r="C330" i="1"/>
  <c r="B330" i="1" s="1"/>
  <c r="K343" i="1" l="1"/>
  <c r="J344" i="1" s="1"/>
  <c r="M344" i="1" s="1"/>
  <c r="D330" i="1"/>
  <c r="E330" i="1"/>
  <c r="F330" i="1"/>
  <c r="L344" i="1" l="1"/>
  <c r="I344" i="1"/>
  <c r="K344" i="1" s="1"/>
  <c r="J345" i="1" s="1"/>
  <c r="M345" i="1" s="1"/>
  <c r="C331" i="1"/>
  <c r="B331" i="1" s="1"/>
  <c r="E331" i="1" s="1"/>
  <c r="I345" i="1" l="1"/>
  <c r="F331" i="1"/>
  <c r="K345" i="1"/>
  <c r="L345" i="1"/>
  <c r="D331" i="1"/>
  <c r="C332" i="1" s="1"/>
  <c r="B332" i="1" s="1"/>
  <c r="E332" i="1" s="1"/>
  <c r="F332" i="1" l="1"/>
  <c r="J346" i="1"/>
  <c r="I346" i="1"/>
  <c r="K346" i="1" s="1"/>
  <c r="M346" i="1"/>
  <c r="D332" i="1"/>
  <c r="J347" i="1" l="1"/>
  <c r="I347" i="1" s="1"/>
  <c r="K347" i="1" s="1"/>
  <c r="L346" i="1"/>
  <c r="C333" i="1"/>
  <c r="B333" i="1" s="1"/>
  <c r="F333" i="1" l="1"/>
  <c r="M347" i="1"/>
  <c r="J348" i="1"/>
  <c r="M348" i="1" s="1"/>
  <c r="L347" i="1"/>
  <c r="E333" i="1"/>
  <c r="D333" i="1"/>
  <c r="I348" i="1" l="1"/>
  <c r="K348" i="1" s="1"/>
  <c r="J349" i="1" s="1"/>
  <c r="M349" i="1" s="1"/>
  <c r="L348" i="1"/>
  <c r="C334" i="1"/>
  <c r="B334" i="1" s="1"/>
  <c r="I349" i="1" l="1"/>
  <c r="K349" i="1" s="1"/>
  <c r="J350" i="1" s="1"/>
  <c r="I350" i="1" s="1"/>
  <c r="L349" i="1"/>
  <c r="E334" i="1"/>
  <c r="D334" i="1"/>
  <c r="F334" i="1"/>
  <c r="M350" i="1" l="1"/>
  <c r="K350" i="1"/>
  <c r="L350" i="1"/>
  <c r="C335" i="1"/>
  <c r="B335" i="1" s="1"/>
  <c r="J351" i="1" l="1"/>
  <c r="M351" i="1" s="1"/>
  <c r="D335" i="1"/>
  <c r="C336" i="1" s="1"/>
  <c r="E335" i="1"/>
  <c r="F335" i="1"/>
  <c r="F336" i="1" l="1"/>
  <c r="B336" i="1"/>
  <c r="D336" i="1" s="1"/>
  <c r="C337" i="1" s="1"/>
  <c r="I351" i="1"/>
  <c r="E336" i="1" l="1"/>
  <c r="F337" i="1"/>
  <c r="K351" i="1"/>
  <c r="L351" i="1"/>
  <c r="B337" i="1"/>
  <c r="J352" i="1" l="1"/>
  <c r="I352" i="1" s="1"/>
  <c r="D337" i="1"/>
  <c r="E337" i="1"/>
  <c r="M352" i="1" l="1"/>
  <c r="K352" i="1"/>
  <c r="L352" i="1"/>
  <c r="C338" i="1"/>
  <c r="B338" i="1" s="1"/>
  <c r="J353" i="1" l="1"/>
  <c r="M353" i="1" s="1"/>
  <c r="D338" i="1"/>
  <c r="E338" i="1"/>
  <c r="F338" i="1"/>
  <c r="I353" i="1" l="1"/>
  <c r="C339" i="1"/>
  <c r="F339" i="1"/>
  <c r="B339" i="1"/>
  <c r="D339" i="1" s="1"/>
  <c r="K353" i="1" l="1"/>
  <c r="L353" i="1"/>
  <c r="E339" i="1"/>
  <c r="C340" i="1"/>
  <c r="F340" i="1" s="1"/>
  <c r="J354" i="1" l="1"/>
  <c r="M354" i="1"/>
  <c r="I354" i="1"/>
  <c r="B340" i="1"/>
  <c r="K354" i="1" l="1"/>
  <c r="L354" i="1"/>
  <c r="D340" i="1"/>
  <c r="E340" i="1"/>
  <c r="J355" i="1" l="1"/>
  <c r="I355" i="1" s="1"/>
  <c r="M355" i="1"/>
  <c r="C341" i="1"/>
  <c r="B341" i="1" s="1"/>
  <c r="F341" i="1" l="1"/>
  <c r="E341" i="1"/>
  <c r="D341" i="1"/>
  <c r="C342" i="1" s="1"/>
  <c r="B342" i="1" s="1"/>
  <c r="K355" i="1"/>
  <c r="L355" i="1"/>
  <c r="F342" i="1" l="1"/>
  <c r="J356" i="1"/>
  <c r="I356" i="1" s="1"/>
  <c r="L356" i="1" s="1"/>
  <c r="E342" i="1"/>
  <c r="D342" i="1"/>
  <c r="C343" i="1" s="1"/>
  <c r="B343" i="1" s="1"/>
  <c r="K356" i="1" l="1"/>
  <c r="M356" i="1"/>
  <c r="F343" i="1"/>
  <c r="D343" i="1"/>
  <c r="E343" i="1"/>
  <c r="J357" i="1" l="1"/>
  <c r="M357" i="1" s="1"/>
  <c r="C344" i="1"/>
  <c r="B344" i="1" s="1"/>
  <c r="E344" i="1" s="1"/>
  <c r="F344" i="1"/>
  <c r="I357" i="1" l="1"/>
  <c r="D344" i="1"/>
  <c r="K357" i="1" l="1"/>
  <c r="L357" i="1"/>
  <c r="C345" i="1"/>
  <c r="F345" i="1" s="1"/>
  <c r="J358" i="1" l="1"/>
  <c r="I358" i="1" s="1"/>
  <c r="K358" i="1" s="1"/>
  <c r="L358" i="1"/>
  <c r="B345" i="1"/>
  <c r="E345" i="1" s="1"/>
  <c r="D345" i="1" l="1"/>
  <c r="J359" i="1"/>
  <c r="I359" i="1" s="1"/>
  <c r="K359" i="1" s="1"/>
  <c r="M358" i="1"/>
  <c r="C346" i="1"/>
  <c r="F346" i="1" s="1"/>
  <c r="L359" i="1" l="1"/>
  <c r="M359" i="1"/>
  <c r="J360" i="1"/>
  <c r="M360" i="1" s="1"/>
  <c r="B346" i="1"/>
  <c r="I360" i="1" l="1"/>
  <c r="K360" i="1" s="1"/>
  <c r="J361" i="1" s="1"/>
  <c r="M361" i="1" s="1"/>
  <c r="L360" i="1"/>
  <c r="D346" i="1"/>
  <c r="C347" i="1" s="1"/>
  <c r="B347" i="1" s="1"/>
  <c r="D347" i="1" s="1"/>
  <c r="E346" i="1"/>
  <c r="F347" i="1" l="1"/>
  <c r="I361" i="1"/>
  <c r="E347" i="1"/>
  <c r="C348" i="1"/>
  <c r="B348" i="1" s="1"/>
  <c r="K361" i="1" l="1"/>
  <c r="L361" i="1"/>
  <c r="F348" i="1"/>
  <c r="D348" i="1"/>
  <c r="E348" i="1"/>
  <c r="J362" i="1" l="1"/>
  <c r="M362" i="1" s="1"/>
  <c r="C349" i="1"/>
  <c r="F349" i="1" s="1"/>
  <c r="I362" i="1" l="1"/>
  <c r="K362" i="1" s="1"/>
  <c r="B349" i="1"/>
  <c r="D349" i="1" s="1"/>
  <c r="C350" i="1" s="1"/>
  <c r="F350" i="1" s="1"/>
  <c r="L362" i="1"/>
  <c r="J363" i="1"/>
  <c r="I363" i="1" s="1"/>
  <c r="K363" i="1" s="1"/>
  <c r="E349" i="1" l="1"/>
  <c r="L363" i="1"/>
  <c r="M363" i="1"/>
  <c r="M364" i="1" s="1"/>
  <c r="B350" i="1"/>
  <c r="D350" i="1" s="1"/>
  <c r="J364" i="1"/>
  <c r="I364" i="1"/>
  <c r="K364" i="1" s="1"/>
  <c r="E350" i="1"/>
  <c r="L364" i="1" l="1"/>
  <c r="J365" i="1"/>
  <c r="I365" i="1" s="1"/>
  <c r="L365" i="1" s="1"/>
  <c r="C351" i="1"/>
  <c r="F351" i="1" s="1"/>
  <c r="K365" i="1" l="1"/>
  <c r="M365" i="1"/>
  <c r="B351" i="1"/>
  <c r="J366" i="1" l="1"/>
  <c r="I366" i="1" s="1"/>
  <c r="M366" i="1"/>
  <c r="L366" i="1"/>
  <c r="K366" i="1"/>
  <c r="E351" i="1"/>
  <c r="D351" i="1"/>
  <c r="J367" i="1" l="1"/>
  <c r="M367" i="1" s="1"/>
  <c r="C352" i="1"/>
  <c r="B352" i="1" s="1"/>
  <c r="I367" i="1" l="1"/>
  <c r="K367" i="1" s="1"/>
  <c r="J368" i="1"/>
  <c r="I368" i="1" s="1"/>
  <c r="K368" i="1" s="1"/>
  <c r="L367" i="1"/>
  <c r="D352" i="1"/>
  <c r="E352" i="1"/>
  <c r="F352" i="1"/>
  <c r="L368" i="1" l="1"/>
  <c r="M368" i="1"/>
  <c r="J369" i="1"/>
  <c r="M369" i="1" s="1"/>
  <c r="C353" i="1"/>
  <c r="F353" i="1" s="1"/>
  <c r="I369" i="1" l="1"/>
  <c r="B353" i="1"/>
  <c r="K369" i="1" l="1"/>
  <c r="L369" i="1"/>
  <c r="E353" i="1"/>
  <c r="D353" i="1"/>
  <c r="J370" i="1" l="1"/>
  <c r="I370" i="1" s="1"/>
  <c r="K370" i="1" s="1"/>
  <c r="L370" i="1"/>
  <c r="M370" i="1"/>
  <c r="C354" i="1"/>
  <c r="F354" i="1" s="1"/>
  <c r="J371" i="1" l="1"/>
  <c r="I371" i="1" s="1"/>
  <c r="L371" i="1" s="1"/>
  <c r="K371" i="1"/>
  <c r="M371" i="1"/>
  <c r="B354" i="1"/>
  <c r="J372" i="1" l="1"/>
  <c r="M372" i="1"/>
  <c r="I372" i="1"/>
  <c r="D354" i="1"/>
  <c r="E354" i="1"/>
  <c r="K372" i="1" l="1"/>
  <c r="L372" i="1"/>
  <c r="C355" i="1"/>
  <c r="F355" i="1" s="1"/>
  <c r="J373" i="1" l="1"/>
  <c r="I373" i="1" s="1"/>
  <c r="K373" i="1" s="1"/>
  <c r="B355" i="1"/>
  <c r="J374" i="1" l="1"/>
  <c r="I374" i="1" s="1"/>
  <c r="K374" i="1" s="1"/>
  <c r="M373" i="1"/>
  <c r="L373" i="1"/>
  <c r="D355" i="1"/>
  <c r="E355" i="1"/>
  <c r="M374" i="1" l="1"/>
  <c r="J375" i="1"/>
  <c r="M375" i="1" s="1"/>
  <c r="I375" i="1"/>
  <c r="K375" i="1" s="1"/>
  <c r="L374" i="1"/>
  <c r="L375" i="1" s="1"/>
  <c r="C356" i="1"/>
  <c r="F356" i="1" s="1"/>
  <c r="B356" i="1"/>
  <c r="E356" i="1" s="1"/>
  <c r="D356" i="1" l="1"/>
  <c r="C357" i="1" s="1"/>
  <c r="B357" i="1" s="1"/>
  <c r="E357" i="1" s="1"/>
  <c r="J376" i="1"/>
  <c r="M376" i="1" s="1"/>
  <c r="I376" i="1"/>
  <c r="L376" i="1" l="1"/>
  <c r="K376" i="1"/>
  <c r="D357" i="1"/>
  <c r="F357" i="1"/>
  <c r="J377" i="1" l="1"/>
  <c r="M377" i="1"/>
  <c r="I377" i="1"/>
  <c r="L377" i="1" s="1"/>
  <c r="C358" i="1"/>
  <c r="F358" i="1" s="1"/>
  <c r="K377" i="1" l="1"/>
  <c r="B358" i="1"/>
  <c r="J378" i="1" l="1"/>
  <c r="I378" i="1" s="1"/>
  <c r="K378" i="1" s="1"/>
  <c r="M378" i="1"/>
  <c r="E358" i="1"/>
  <c r="D358" i="1"/>
  <c r="L378" i="1" l="1"/>
  <c r="J379" i="1"/>
  <c r="M379" i="1" s="1"/>
  <c r="I379" i="1"/>
  <c r="C359" i="1"/>
  <c r="B359" i="1" s="1"/>
  <c r="D359" i="1" s="1"/>
  <c r="K379" i="1" l="1"/>
  <c r="L379" i="1"/>
  <c r="C360" i="1"/>
  <c r="B360" i="1" s="1"/>
  <c r="D360" i="1" s="1"/>
  <c r="E359" i="1"/>
  <c r="F359" i="1"/>
  <c r="F360" i="1" s="1"/>
  <c r="E360" i="1" l="1"/>
  <c r="J380" i="1"/>
  <c r="M380" i="1" s="1"/>
  <c r="I380" i="1"/>
  <c r="L380" i="1" s="1"/>
  <c r="C361" i="1"/>
  <c r="F361" i="1" s="1"/>
  <c r="B361" i="1" l="1"/>
  <c r="D361" i="1" s="1"/>
  <c r="C362" i="1" s="1"/>
  <c r="B362" i="1" s="1"/>
  <c r="K380" i="1"/>
  <c r="F362" i="1" l="1"/>
  <c r="D362" i="1"/>
  <c r="C363" i="1" s="1"/>
  <c r="B363" i="1" s="1"/>
  <c r="D363" i="1" s="1"/>
  <c r="E361" i="1"/>
  <c r="E362" i="1" s="1"/>
  <c r="J381" i="1"/>
  <c r="I381" i="1" s="1"/>
  <c r="F363" i="1" l="1"/>
  <c r="E363" i="1"/>
  <c r="L381" i="1"/>
  <c r="K381" i="1"/>
  <c r="M381" i="1"/>
  <c r="C364" i="1"/>
  <c r="F364" i="1" s="1"/>
  <c r="J382" i="1" l="1"/>
  <c r="M382" i="1" s="1"/>
  <c r="B364" i="1"/>
  <c r="E364" i="1" s="1"/>
  <c r="I382" i="1" l="1"/>
  <c r="L382" i="1"/>
  <c r="K382" i="1"/>
  <c r="J383" i="1" s="1"/>
  <c r="M383" i="1" s="1"/>
  <c r="D364" i="1"/>
  <c r="C365" i="1" s="1"/>
  <c r="B365" i="1" s="1"/>
  <c r="D365" i="1" s="1"/>
  <c r="I383" i="1" l="1"/>
  <c r="K383" i="1" s="1"/>
  <c r="F365" i="1"/>
  <c r="E365" i="1"/>
  <c r="L383" i="1"/>
  <c r="C366" i="1"/>
  <c r="B366" i="1" s="1"/>
  <c r="J384" i="1" l="1"/>
  <c r="I384" i="1"/>
  <c r="K384" i="1" s="1"/>
  <c r="M384" i="1"/>
  <c r="L384" i="1"/>
  <c r="F366" i="1"/>
  <c r="D366" i="1"/>
  <c r="E366" i="1"/>
  <c r="J385" i="1" l="1"/>
  <c r="I385" i="1" s="1"/>
  <c r="M385" i="1"/>
  <c r="C367" i="1"/>
  <c r="F367" i="1" s="1"/>
  <c r="K385" i="1" l="1"/>
  <c r="L385" i="1"/>
  <c r="B367" i="1"/>
  <c r="E367" i="1" s="1"/>
  <c r="D367" i="1" l="1"/>
  <c r="C368" i="1" s="1"/>
  <c r="B368" i="1" s="1"/>
  <c r="J386" i="1"/>
  <c r="I386" i="1" s="1"/>
  <c r="K386" i="1" l="1"/>
  <c r="L386" i="1"/>
  <c r="M386" i="1"/>
  <c r="D368" i="1"/>
  <c r="E368" i="1"/>
  <c r="F368" i="1"/>
  <c r="J387" i="1" l="1"/>
  <c r="I387" i="1" s="1"/>
  <c r="K387" i="1" s="1"/>
  <c r="C369" i="1"/>
  <c r="B369" i="1" s="1"/>
  <c r="M387" i="1" l="1"/>
  <c r="J388" i="1"/>
  <c r="M388" i="1"/>
  <c r="I388" i="1"/>
  <c r="K388" i="1" s="1"/>
  <c r="L387" i="1"/>
  <c r="F369" i="1"/>
  <c r="E369" i="1"/>
  <c r="D369" i="1"/>
  <c r="L388" i="1" l="1"/>
  <c r="C370" i="1"/>
  <c r="F370" i="1" s="1"/>
  <c r="B370" i="1" l="1"/>
  <c r="D370" i="1" l="1"/>
  <c r="E370" i="1"/>
  <c r="C371" i="1" l="1"/>
  <c r="F371" i="1" s="1"/>
  <c r="B371" i="1" l="1"/>
  <c r="D371" i="1" s="1"/>
  <c r="C372" i="1" s="1"/>
  <c r="B372" i="1" s="1"/>
  <c r="D372" i="1" s="1"/>
  <c r="E371" i="1"/>
  <c r="E372" i="1" l="1"/>
  <c r="F372" i="1"/>
  <c r="C373" i="1"/>
  <c r="B373" i="1" s="1"/>
  <c r="E373" i="1" l="1"/>
  <c r="D373" i="1"/>
  <c r="F373" i="1"/>
  <c r="C374" i="1" l="1"/>
  <c r="B374" i="1" s="1"/>
  <c r="F374" i="1" l="1"/>
  <c r="E374" i="1"/>
  <c r="D374" i="1"/>
  <c r="C375" i="1" s="1"/>
  <c r="B375" i="1" s="1"/>
  <c r="E375" i="1" l="1"/>
  <c r="D375" i="1"/>
  <c r="F375" i="1"/>
  <c r="C376" i="1" l="1"/>
  <c r="B376" i="1" s="1"/>
  <c r="D376" i="1" l="1"/>
  <c r="E376" i="1"/>
  <c r="F376" i="1"/>
  <c r="C377" i="1" l="1"/>
  <c r="B377" i="1" s="1"/>
  <c r="F377" i="1" l="1"/>
  <c r="D377" i="1"/>
  <c r="E377" i="1"/>
  <c r="C378" i="1" l="1"/>
  <c r="F378" i="1" s="1"/>
  <c r="B378" i="1" l="1"/>
  <c r="D378" i="1" s="1"/>
  <c r="E378" i="1"/>
  <c r="C379" i="1"/>
  <c r="F379" i="1" s="1"/>
  <c r="B379" i="1" l="1"/>
  <c r="D379" i="1" s="1"/>
  <c r="C380" i="1" l="1"/>
  <c r="B380" i="1" s="1"/>
  <c r="D380" i="1" s="1"/>
  <c r="E379" i="1"/>
  <c r="E380" i="1" l="1"/>
  <c r="F380" i="1"/>
  <c r="C381" i="1"/>
  <c r="B381" i="1" s="1"/>
  <c r="E381" i="1" l="1"/>
  <c r="D381" i="1"/>
  <c r="F381" i="1"/>
  <c r="C382" i="1" l="1"/>
  <c r="F382" i="1" s="1"/>
  <c r="B382" i="1" l="1"/>
  <c r="E382" i="1" s="1"/>
  <c r="D382" i="1" l="1"/>
  <c r="C383" i="1" s="1"/>
  <c r="F383" i="1" s="1"/>
  <c r="B383" i="1" l="1"/>
  <c r="E383" i="1" s="1"/>
  <c r="D383" i="1" l="1"/>
  <c r="C384" i="1" s="1"/>
  <c r="F384" i="1" s="1"/>
  <c r="B384" i="1" l="1"/>
  <c r="D384" i="1" s="1"/>
  <c r="E384" i="1"/>
  <c r="C385" i="1" l="1"/>
  <c r="F385" i="1" s="1"/>
  <c r="B385" i="1" l="1"/>
  <c r="D385" i="1" s="1"/>
  <c r="C386" i="1" s="1"/>
  <c r="E385" i="1" l="1"/>
  <c r="F386" i="1"/>
  <c r="B386" i="1"/>
  <c r="D386" i="1" s="1"/>
  <c r="C387" i="1" s="1"/>
  <c r="D18" i="1" s="1"/>
  <c r="E386" i="1" l="1"/>
  <c r="B387" i="1"/>
  <c r="D387" i="1" s="1"/>
  <c r="C388" i="1" s="1"/>
  <c r="F387" i="1"/>
  <c r="E387" i="1" l="1"/>
  <c r="B388" i="1"/>
  <c r="D388" i="1" s="1"/>
  <c r="F388" i="1"/>
  <c r="D19" i="1" s="1"/>
  <c r="E388" i="1" l="1"/>
</calcChain>
</file>

<file path=xl/sharedStrings.xml><?xml version="1.0" encoding="utf-8"?>
<sst xmlns="http://schemas.openxmlformats.org/spreadsheetml/2006/main" count="111" uniqueCount="61">
  <si>
    <t>AMORTIZATION SCHEDULE</t>
  </si>
  <si>
    <t>TERM</t>
  </si>
  <si>
    <t>Term in Years</t>
  </si>
  <si>
    <t>Term in Months</t>
  </si>
  <si>
    <t>10 years</t>
  </si>
  <si>
    <t>120 months</t>
  </si>
  <si>
    <t>Loan Amount:</t>
  </si>
  <si>
    <t>15 years</t>
  </si>
  <si>
    <t>180 months</t>
  </si>
  <si>
    <t>20 years</t>
  </si>
  <si>
    <t>240 months</t>
  </si>
  <si>
    <t>Annual Percentage Rate:</t>
  </si>
  <si>
    <t>25 years</t>
  </si>
  <si>
    <t>300 months</t>
  </si>
  <si>
    <t>30 years</t>
  </si>
  <si>
    <t>360 months</t>
  </si>
  <si>
    <t>Monthly Payment Terms:</t>
  </si>
  <si>
    <t>Monthly Payment:</t>
  </si>
  <si>
    <t>Extra Payment Per Month:</t>
  </si>
  <si>
    <t>Interest Savings:</t>
  </si>
  <si>
    <t>Savings in Years:</t>
  </si>
  <si>
    <t>Payment Difference:</t>
  </si>
  <si>
    <t>CURRENT PROGRAM</t>
  </si>
  <si>
    <t>NEW PROGRAM</t>
  </si>
  <si>
    <t>Principal</t>
  </si>
  <si>
    <t>Interest</t>
  </si>
  <si>
    <t>Remaining</t>
  </si>
  <si>
    <t>Accumulated Payments Made:</t>
  </si>
  <si>
    <t>Payment</t>
  </si>
  <si>
    <t>Paid</t>
  </si>
  <si>
    <t>Month 1</t>
  </si>
  <si>
    <t>Payment Year 1: Month 12</t>
  </si>
  <si>
    <t>Payment Year 2: Month 24</t>
  </si>
  <si>
    <t>Payment Year 3: Month 36</t>
  </si>
  <si>
    <t>Payment Year 4: Month 48</t>
  </si>
  <si>
    <t>Payment Year 5: Month 60</t>
  </si>
  <si>
    <t>Payment Year 6: Month 72</t>
  </si>
  <si>
    <t>Payment Year 7: Month 84</t>
  </si>
  <si>
    <t>Payment Year 8: Month 96</t>
  </si>
  <si>
    <t>Payment Year 9: Month 108</t>
  </si>
  <si>
    <t>Payment Year 10: Month 120</t>
  </si>
  <si>
    <t>Payment Year 11 Month 132</t>
  </si>
  <si>
    <t>Payment Year 12: Month 144</t>
  </si>
  <si>
    <t>Payment Year 13: Month 156</t>
  </si>
  <si>
    <t>Payment Year 14: Month 168</t>
  </si>
  <si>
    <t>Payment Year 15: Month 180</t>
  </si>
  <si>
    <t>Payment Year 16: Month 192</t>
  </si>
  <si>
    <t>Payment Year 17: Month 204</t>
  </si>
  <si>
    <t>Payment Year 18: Month 216</t>
  </si>
  <si>
    <t>Payment Year 19: Month 228</t>
  </si>
  <si>
    <t>Payment Year 20: Month 240</t>
  </si>
  <si>
    <t>Payment Year 21: Month 252</t>
  </si>
  <si>
    <t>Payment Year 22: Month 264</t>
  </si>
  <si>
    <t>Payment Year 23: Month 276</t>
  </si>
  <si>
    <t>Payment Year 24: Month 288</t>
  </si>
  <si>
    <t>Payment Year 25: Month 300</t>
  </si>
  <si>
    <t>Payment Year 26: Month 312</t>
  </si>
  <si>
    <t>Payment Year 27: Month 324</t>
  </si>
  <si>
    <t>Payment Year 28: Month 336</t>
  </si>
  <si>
    <t>Payment Year 29: Month 348</t>
  </si>
  <si>
    <t>Payment Year 30: Month 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</si>
</sst>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General;[Red]\-General"/>
    <numFmt numFmtId="165" formatCode="#,##0.00;[Red]\-#,##0.00"/>
    <numFmt numFmtId="166" formatCode="&quot;$&quot;#,##0.00"/>
    <numFmt numFmtId="167" formatCode="0.000%"/>
    <numFmt numFmtId="168" formatCode="&quot;$&quot;#,##0"/>
  </numFmts>
  <fonts count="1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u/>
      <sz val="10.45"/>
      <color indexed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</patternFill>
    </fill>
    <fill>
      <patternFill patternType="solid">
        <fgColor indexed="11"/>
        <bgColor indexed="64"/>
      </patternFill>
    </fill>
  </fills>
  <borders count="2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3" fontId="3" fillId="0" borderId="0"/>
  </cellStyleXfs>
  <cellXfs count="54">
    <xf numFmtId="0" fontId="0" fillId="0" borderId="0" xfId="0"/>
    <xf numFmtId="164" fontId="4" fillId="0" borderId="0" xfId="2" applyNumberFormat="1" applyFont="1"/>
    <xf numFmtId="3" fontId="3" fillId="0" borderId="0" xfId="2"/>
    <xf numFmtId="164" fontId="5" fillId="2" borderId="1" xfId="2" applyNumberFormat="1" applyFont="1" applyFill="1" applyBorder="1" applyAlignment="1">
      <alignment horizontal="center"/>
    </xf>
    <xf numFmtId="164" fontId="6" fillId="3" borderId="2" xfId="2" applyNumberFormat="1" applyFont="1" applyFill="1" applyBorder="1" applyAlignment="1">
      <alignment horizontal="center"/>
    </xf>
    <xf numFmtId="164" fontId="4" fillId="0" borderId="3" xfId="2" applyNumberFormat="1" applyFont="1" applyBorder="1"/>
    <xf numFmtId="164" fontId="5" fillId="2" borderId="4" xfId="2" applyNumberFormat="1" applyFont="1" applyFill="1" applyBorder="1" applyAlignment="1">
      <alignment horizontal="center"/>
    </xf>
    <xf numFmtId="164" fontId="6" fillId="3" borderId="5" xfId="2" applyNumberFormat="1" applyFont="1" applyFill="1" applyBorder="1" applyAlignment="1">
      <alignment horizontal="center"/>
    </xf>
    <xf numFmtId="164" fontId="6" fillId="3" borderId="6" xfId="2" applyNumberFormat="1" applyFont="1" applyFill="1" applyBorder="1" applyAlignment="1">
      <alignment horizontal="center"/>
    </xf>
    <xf numFmtId="164" fontId="9" fillId="0" borderId="0" xfId="2" applyNumberFormat="1" applyFont="1"/>
    <xf numFmtId="164" fontId="10" fillId="0" borderId="0" xfId="2" applyNumberFormat="1" applyFont="1"/>
    <xf numFmtId="164" fontId="10" fillId="0" borderId="0" xfId="2" applyNumberFormat="1" applyFont="1" applyAlignment="1">
      <alignment horizontal="right"/>
    </xf>
    <xf numFmtId="164" fontId="11" fillId="0" borderId="0" xfId="2" applyNumberFormat="1" applyFont="1" applyAlignment="1">
      <alignment horizontal="right"/>
    </xf>
    <xf numFmtId="3" fontId="12" fillId="0" borderId="0" xfId="2" applyFont="1"/>
    <xf numFmtId="164" fontId="13" fillId="0" borderId="0" xfId="2" applyNumberFormat="1" applyFont="1" applyAlignment="1">
      <alignment horizontal="right"/>
    </xf>
    <xf numFmtId="4" fontId="4" fillId="0" borderId="0" xfId="2" applyNumberFormat="1" applyFont="1"/>
    <xf numFmtId="165" fontId="4" fillId="0" borderId="0" xfId="2" applyNumberFormat="1" applyFont="1"/>
    <xf numFmtId="164" fontId="13" fillId="0" borderId="0" xfId="2" applyNumberFormat="1" applyFont="1"/>
    <xf numFmtId="0" fontId="14" fillId="0" borderId="0" xfId="0" applyFont="1"/>
    <xf numFmtId="164" fontId="7" fillId="0" borderId="0" xfId="1" applyNumberFormat="1" applyFont="1" applyFill="1" applyBorder="1" applyAlignment="1" applyProtection="1">
      <alignment horizontal="centerContinuous"/>
    </xf>
    <xf numFmtId="3" fontId="1" fillId="0" borderId="0" xfId="2" applyFont="1" applyAlignment="1">
      <alignment horizontal="centerContinuous"/>
    </xf>
    <xf numFmtId="165" fontId="0" fillId="0" borderId="0" xfId="0" applyNumberFormat="1"/>
    <xf numFmtId="164" fontId="6" fillId="0" borderId="0" xfId="2" applyNumberFormat="1" applyFont="1" applyAlignment="1">
      <alignment horizontal="centerContinuous"/>
    </xf>
    <xf numFmtId="3" fontId="3" fillId="0" borderId="0" xfId="2" applyAlignment="1">
      <alignment horizontal="centerContinuous"/>
    </xf>
    <xf numFmtId="164" fontId="4" fillId="4" borderId="7" xfId="2" applyNumberFormat="1" applyFont="1" applyFill="1" applyBorder="1"/>
    <xf numFmtId="2" fontId="4" fillId="4" borderId="8" xfId="2" applyNumberFormat="1" applyFont="1" applyFill="1" applyBorder="1"/>
    <xf numFmtId="164" fontId="4" fillId="4" borderId="9" xfId="2" applyNumberFormat="1" applyFont="1" applyFill="1" applyBorder="1"/>
    <xf numFmtId="0" fontId="0" fillId="4" borderId="10" xfId="0" applyFill="1" applyBorder="1"/>
    <xf numFmtId="164" fontId="4" fillId="4" borderId="11" xfId="2" applyNumberFormat="1" applyFont="1" applyFill="1" applyBorder="1"/>
    <xf numFmtId="0" fontId="0" fillId="4" borderId="12" xfId="0" applyFill="1" applyBorder="1"/>
    <xf numFmtId="0" fontId="0" fillId="4" borderId="13" xfId="0" applyFill="1" applyBorder="1"/>
    <xf numFmtId="164" fontId="4" fillId="4" borderId="5" xfId="2" applyNumberFormat="1" applyFont="1" applyFill="1" applyBorder="1"/>
    <xf numFmtId="0" fontId="2" fillId="5" borderId="0" xfId="0" applyFont="1" applyFill="1"/>
    <xf numFmtId="166" fontId="14" fillId="5" borderId="14" xfId="0" applyNumberFormat="1" applyFont="1" applyFill="1" applyBorder="1"/>
    <xf numFmtId="0" fontId="0" fillId="0" borderId="16" xfId="0" applyBorder="1" applyProtection="1">
      <protection locked="0"/>
    </xf>
    <xf numFmtId="0" fontId="2" fillId="0" borderId="0" xfId="0" applyFont="1" applyProtection="1"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0" xfId="0" applyProtection="1">
      <protection locked="0"/>
    </xf>
    <xf numFmtId="0" fontId="2" fillId="0" borderId="17" xfId="0" applyFont="1" applyBorder="1" applyProtection="1">
      <protection locked="0"/>
    </xf>
    <xf numFmtId="168" fontId="0" fillId="0" borderId="18" xfId="0" applyNumberFormat="1" applyBorder="1" applyProtection="1">
      <protection locked="0"/>
    </xf>
    <xf numFmtId="167" fontId="0" fillId="0" borderId="18" xfId="0" applyNumberFormat="1" applyBorder="1" applyProtection="1">
      <protection locked="0"/>
    </xf>
    <xf numFmtId="0" fontId="0" fillId="3" borderId="19" xfId="0" applyFill="1" applyBorder="1" applyProtection="1">
      <protection locked="0"/>
    </xf>
    <xf numFmtId="4" fontId="4" fillId="8" borderId="20" xfId="2" applyNumberFormat="1" applyFont="1" applyFill="1" applyBorder="1" applyProtection="1">
      <protection locked="0"/>
    </xf>
    <xf numFmtId="8" fontId="0" fillId="3" borderId="19" xfId="0" applyNumberFormat="1" applyFill="1" applyBorder="1" applyProtection="1">
      <protection locked="0"/>
    </xf>
    <xf numFmtId="0" fontId="2" fillId="0" borderId="21" xfId="0" applyFont="1" applyBorder="1" applyProtection="1">
      <protection locked="0"/>
    </xf>
    <xf numFmtId="166" fontId="0" fillId="9" borderId="22" xfId="0" applyNumberFormat="1" applyFill="1" applyBorder="1" applyProtection="1">
      <protection locked="0"/>
    </xf>
    <xf numFmtId="0" fontId="2" fillId="7" borderId="15" xfId="0" quotePrefix="1" applyFont="1" applyFill="1" applyBorder="1" applyProtection="1">
      <protection locked="0"/>
    </xf>
    <xf numFmtId="0" fontId="2" fillId="6" borderId="15" xfId="0" quotePrefix="1" applyFont="1" applyFill="1" applyBorder="1" applyProtection="1">
      <protection locked="0"/>
    </xf>
    <xf numFmtId="164" fontId="10" fillId="5" borderId="0" xfId="2" applyNumberFormat="1" applyFont="1" applyFill="1"/>
    <xf numFmtId="2" fontId="9" fillId="5" borderId="14" xfId="2" applyNumberFormat="1" applyFont="1" applyFill="1" applyBorder="1"/>
    <xf numFmtId="164" fontId="10" fillId="4" borderId="8" xfId="2" applyNumberFormat="1" applyFont="1" applyFill="1" applyBorder="1"/>
    <xf numFmtId="164" fontId="9" fillId="7" borderId="14" xfId="2" applyNumberFormat="1" applyFont="1" applyFill="1" applyBorder="1"/>
    <xf numFmtId="164" fontId="9" fillId="6" borderId="14" xfId="2" applyNumberFormat="1" applyFont="1" applyFill="1" applyBorder="1"/>
  </cellXfs>
  <cellStyles count="3">
    <cellStyle name="Hyperlink_Ammortization Schedule" xfId="1" xr:uid="{00000000-0005-0000-0000-000000000000}"/>
    <cellStyle name="Normal" xfId="0" builtinId="0"/>
    <cellStyle name="Normal_Ammortization Schedule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3"/>
  <sheetViews>
    <sheetView tabSelected="1" zoomScale="127" zoomScaleNormal="100" workbookViewId="0">
      <selection activeCell="I14" sqref="I14"/>
    </sheetView>
  </sheetViews>
  <sheetFormatPr defaultColWidth="11.42578125" defaultRowHeight="12.75"/>
  <cols>
    <col min="1" max="1" width="26" customWidth="1"/>
    <col min="2" max="2" width="11.42578125" bestFit="1" customWidth="1"/>
    <col min="3" max="3" width="20.140625" bestFit="1" customWidth="1"/>
    <col min="4" max="4" width="24.140625" bestFit="1" customWidth="1"/>
    <col min="5" max="5" width="13.28515625" customWidth="1"/>
    <col min="6" max="6" width="20" customWidth="1"/>
    <col min="7" max="7" width="13.7109375" bestFit="1" customWidth="1"/>
    <col min="8" max="8" width="15.140625" bestFit="1" customWidth="1"/>
    <col min="9" max="10" width="10.42578125" bestFit="1" customWidth="1"/>
    <col min="11" max="11" width="19.85546875" bestFit="1" customWidth="1"/>
    <col min="12" max="12" width="14.28515625" bestFit="1" customWidth="1"/>
    <col min="13" max="13" width="29" bestFit="1" customWidth="1"/>
    <col min="14" max="256" width="8.85546875" customWidth="1"/>
  </cols>
  <sheetData>
    <row r="1" spans="1:8" ht="18">
      <c r="A1" s="18" t="s">
        <v>0</v>
      </c>
      <c r="G1" s="9" t="s">
        <v>1</v>
      </c>
      <c r="H1" s="1"/>
    </row>
    <row r="2" spans="1:8" ht="15.75" thickBot="1">
      <c r="G2" s="2"/>
      <c r="H2" s="2"/>
    </row>
    <row r="3" spans="1:8" ht="13.5" thickBot="1">
      <c r="A3" s="47"/>
      <c r="B3" s="34"/>
      <c r="C3" s="35"/>
      <c r="D3" s="48"/>
      <c r="E3" s="34"/>
      <c r="G3" s="3" t="s">
        <v>2</v>
      </c>
      <c r="H3" s="6" t="s">
        <v>3</v>
      </c>
    </row>
    <row r="4" spans="1:8">
      <c r="A4" s="36"/>
      <c r="B4" s="37"/>
      <c r="C4" s="38"/>
      <c r="D4" s="36"/>
      <c r="E4" s="37"/>
      <c r="G4" s="4" t="s">
        <v>4</v>
      </c>
      <c r="H4" s="7" t="s">
        <v>5</v>
      </c>
    </row>
    <row r="5" spans="1:8">
      <c r="A5" s="39" t="s">
        <v>6</v>
      </c>
      <c r="B5" s="40">
        <v>195000</v>
      </c>
      <c r="C5" s="38"/>
      <c r="D5" s="39" t="s">
        <v>6</v>
      </c>
      <c r="E5" s="40">
        <v>195000</v>
      </c>
      <c r="G5" s="4" t="s">
        <v>7</v>
      </c>
      <c r="H5" s="7" t="s">
        <v>8</v>
      </c>
    </row>
    <row r="6" spans="1:8">
      <c r="A6" s="36"/>
      <c r="B6" s="37"/>
      <c r="C6" s="38"/>
      <c r="D6" s="36"/>
      <c r="E6" s="37"/>
      <c r="G6" s="4" t="s">
        <v>9</v>
      </c>
      <c r="H6" s="7" t="s">
        <v>10</v>
      </c>
    </row>
    <row r="7" spans="1:8">
      <c r="A7" s="39" t="s">
        <v>11</v>
      </c>
      <c r="B7" s="41">
        <v>6.5000000000000002E-2</v>
      </c>
      <c r="C7" s="38"/>
      <c r="D7" s="39" t="s">
        <v>11</v>
      </c>
      <c r="E7" s="41">
        <v>6.25E-2</v>
      </c>
      <c r="G7" s="4" t="s">
        <v>12</v>
      </c>
      <c r="H7" s="7" t="s">
        <v>13</v>
      </c>
    </row>
    <row r="8" spans="1:8">
      <c r="A8" s="36"/>
      <c r="B8" s="37"/>
      <c r="C8" s="38"/>
      <c r="D8" s="36"/>
      <c r="E8" s="37"/>
      <c r="G8" s="4" t="s">
        <v>14</v>
      </c>
      <c r="H8" s="8" t="s">
        <v>15</v>
      </c>
    </row>
    <row r="9" spans="1:8" ht="15">
      <c r="A9" s="36"/>
      <c r="B9" s="37"/>
      <c r="C9" s="38"/>
      <c r="D9" s="36"/>
      <c r="E9" s="37"/>
      <c r="G9" s="5"/>
      <c r="H9" s="5"/>
    </row>
    <row r="10" spans="1:8" ht="15">
      <c r="A10" s="39" t="s">
        <v>16</v>
      </c>
      <c r="B10" s="42">
        <v>360</v>
      </c>
      <c r="C10" s="38"/>
      <c r="D10" s="39" t="s">
        <v>16</v>
      </c>
      <c r="E10" s="42">
        <v>180</v>
      </c>
      <c r="G10" s="22"/>
      <c r="H10" s="23"/>
    </row>
    <row r="11" spans="1:8">
      <c r="A11" s="36"/>
      <c r="B11" s="37"/>
      <c r="C11" s="38"/>
      <c r="D11" s="36"/>
      <c r="E11" s="37"/>
      <c r="G11" s="19"/>
      <c r="H11" s="20"/>
    </row>
    <row r="12" spans="1:8" ht="15">
      <c r="A12" s="39" t="s">
        <v>17</v>
      </c>
      <c r="B12" s="43">
        <f>PMT(RATE/12,TERM,-((LOAN)))</f>
        <v>1232.5326458112793</v>
      </c>
      <c r="C12" s="38"/>
      <c r="D12" s="39" t="s">
        <v>17</v>
      </c>
      <c r="E12" s="44">
        <f>PMT(RATE2/12,TERM2,-((LOAN2)))</f>
        <v>1671.9745896753268</v>
      </c>
      <c r="G12" s="19"/>
      <c r="H12" s="20"/>
    </row>
    <row r="13" spans="1:8">
      <c r="A13" s="36"/>
      <c r="B13" s="37"/>
      <c r="C13" s="38"/>
      <c r="D13" s="36"/>
      <c r="E13" s="37"/>
      <c r="G13" s="19"/>
      <c r="H13" s="20"/>
    </row>
    <row r="14" spans="1:8" ht="13.5" thickBot="1">
      <c r="A14" s="45" t="s">
        <v>18</v>
      </c>
      <c r="B14" s="46">
        <v>0</v>
      </c>
      <c r="C14" s="38"/>
      <c r="D14" s="45" t="s">
        <v>18</v>
      </c>
      <c r="E14" s="46">
        <v>0</v>
      </c>
    </row>
    <row r="17" spans="1:13">
      <c r="B17" s="27"/>
      <c r="C17" s="29"/>
      <c r="D17" s="29"/>
      <c r="E17" s="30"/>
    </row>
    <row r="18" spans="1:13" ht="18">
      <c r="A18" s="9"/>
      <c r="B18" s="28"/>
      <c r="C18" s="32" t="s">
        <v>19</v>
      </c>
      <c r="D18" s="33">
        <f>SUM(C28:C387)-SUM(J28:J387)</f>
        <v>142756.32635050165</v>
      </c>
      <c r="E18" s="31"/>
      <c r="F18" s="1"/>
      <c r="G18" s="1"/>
      <c r="H18" s="1"/>
      <c r="I18" s="1"/>
    </row>
    <row r="19" spans="1:13" ht="15.75">
      <c r="A19" s="9"/>
      <c r="B19" s="28"/>
      <c r="C19" s="49" t="s">
        <v>20</v>
      </c>
      <c r="D19" s="50">
        <f>SUM((COUNTIF(F28:F388,"&gt;0")-(COUNTIF(M28:M388,"&gt;0"))))/12</f>
        <v>15</v>
      </c>
      <c r="E19" s="31"/>
      <c r="F19" s="9"/>
      <c r="G19" s="1"/>
      <c r="H19" s="1"/>
      <c r="I19" s="1"/>
    </row>
    <row r="20" spans="1:13" ht="15.75">
      <c r="A20" s="9"/>
      <c r="B20" s="28"/>
      <c r="C20" s="49" t="s">
        <v>21</v>
      </c>
      <c r="D20" s="50">
        <f>SUM(E12-B12)</f>
        <v>439.44194386404752</v>
      </c>
      <c r="E20" s="31"/>
      <c r="F20" s="9"/>
      <c r="G20" s="1"/>
      <c r="H20" s="1"/>
      <c r="I20" s="1"/>
    </row>
    <row r="21" spans="1:13" ht="15.75">
      <c r="A21" s="9"/>
      <c r="B21" s="24"/>
      <c r="C21" s="51"/>
      <c r="D21" s="25"/>
      <c r="E21" s="26"/>
      <c r="F21" s="9"/>
      <c r="G21" s="1"/>
      <c r="H21" s="1"/>
      <c r="I21" s="1"/>
    </row>
    <row r="22" spans="1:13" ht="15.75">
      <c r="A22" s="9"/>
      <c r="B22" s="1"/>
      <c r="C22" s="1"/>
      <c r="D22" s="1"/>
      <c r="E22" s="1"/>
      <c r="F22" s="1"/>
      <c r="G22" s="1"/>
      <c r="H22" s="1"/>
      <c r="I22" s="1"/>
    </row>
    <row r="23" spans="1:13" ht="15.75">
      <c r="B23" s="1"/>
      <c r="D23" s="52" t="s">
        <v>22</v>
      </c>
      <c r="E23" s="1"/>
      <c r="F23" s="1"/>
      <c r="G23" s="2"/>
      <c r="H23" s="9"/>
      <c r="I23" s="1"/>
      <c r="J23" s="1"/>
      <c r="K23" s="53" t="s">
        <v>23</v>
      </c>
      <c r="L23" s="1"/>
      <c r="M23" s="1"/>
    </row>
    <row r="24" spans="1:13" ht="15">
      <c r="A24" s="2"/>
      <c r="B24" s="2"/>
      <c r="C24" s="2"/>
      <c r="D24" s="2"/>
      <c r="E24" s="2"/>
      <c r="F24" s="2"/>
      <c r="G24" s="10"/>
      <c r="H24" s="2"/>
      <c r="I24" s="2"/>
      <c r="J24" s="2"/>
      <c r="K24" s="2"/>
      <c r="L24" s="2"/>
      <c r="M24" s="2"/>
    </row>
    <row r="25" spans="1:13">
      <c r="A25" s="10"/>
      <c r="B25" s="11" t="s">
        <v>24</v>
      </c>
      <c r="C25" s="11" t="s">
        <v>25</v>
      </c>
      <c r="D25" s="11" t="s">
        <v>26</v>
      </c>
      <c r="E25" s="10"/>
      <c r="F25" s="11" t="s">
        <v>27</v>
      </c>
      <c r="G25" s="10"/>
      <c r="H25" s="10"/>
      <c r="I25" s="11" t="s">
        <v>24</v>
      </c>
      <c r="J25" s="11" t="s">
        <v>25</v>
      </c>
      <c r="K25" s="11" t="s">
        <v>26</v>
      </c>
      <c r="L25" s="10"/>
      <c r="M25" s="11" t="s">
        <v>27</v>
      </c>
    </row>
    <row r="26" spans="1:13" ht="15.75">
      <c r="A26" s="12" t="s">
        <v>28</v>
      </c>
      <c r="B26" s="11" t="s">
        <v>29</v>
      </c>
      <c r="C26" s="11" t="s">
        <v>29</v>
      </c>
      <c r="D26" s="11" t="s">
        <v>24</v>
      </c>
      <c r="E26" s="11" t="s">
        <v>24</v>
      </c>
      <c r="F26" s="11" t="s">
        <v>25</v>
      </c>
      <c r="G26" s="2"/>
      <c r="H26" s="12" t="s">
        <v>28</v>
      </c>
      <c r="I26" s="11" t="s">
        <v>29</v>
      </c>
      <c r="J26" s="11" t="s">
        <v>29</v>
      </c>
      <c r="K26" s="11" t="s">
        <v>24</v>
      </c>
      <c r="L26" s="11" t="s">
        <v>24</v>
      </c>
      <c r="M26" s="11" t="s">
        <v>25</v>
      </c>
    </row>
    <row r="27" spans="1:13" ht="15">
      <c r="A27" s="13"/>
      <c r="B27" s="2"/>
      <c r="C27" s="2"/>
      <c r="D27" s="2"/>
      <c r="E27" s="2"/>
      <c r="F27" s="2"/>
      <c r="G27" s="1"/>
      <c r="H27" s="13"/>
      <c r="I27" s="2"/>
      <c r="J27" s="2"/>
      <c r="K27" s="2"/>
      <c r="L27" s="2"/>
      <c r="M27" s="2"/>
    </row>
    <row r="28" spans="1:13" ht="15">
      <c r="A28" s="14" t="s">
        <v>30</v>
      </c>
      <c r="B28" s="15">
        <f>SUM(B12-C28)</f>
        <v>176.28264581127928</v>
      </c>
      <c r="C28" s="15">
        <f>SUM(LOAN*(RATE/12))</f>
        <v>1056.25</v>
      </c>
      <c r="D28" s="15">
        <f>SUM(LOAN-B28-$B$14)</f>
        <v>194823.71735418873</v>
      </c>
      <c r="E28" s="16">
        <f>SUM(B28,$B$14)</f>
        <v>176.28264581127928</v>
      </c>
      <c r="F28" s="16">
        <f>SUM(C28)</f>
        <v>1056.25</v>
      </c>
      <c r="G28" s="1"/>
      <c r="H28" s="14" t="s">
        <v>30</v>
      </c>
      <c r="I28" s="15">
        <f>SUM(E12-J28)</f>
        <v>656.3495896753268</v>
      </c>
      <c r="J28" s="15">
        <f>SUM(LOAN2*(RATE2/12))</f>
        <v>1015.625</v>
      </c>
      <c r="K28" s="15">
        <f>SUM(LOAN2-I28-$E$14)</f>
        <v>194343.65041032468</v>
      </c>
      <c r="L28" s="16">
        <f>SUM(I28,$E$14)</f>
        <v>656.3495896753268</v>
      </c>
      <c r="M28" s="16">
        <f>SUM(J28)</f>
        <v>1015.625</v>
      </c>
    </row>
    <row r="29" spans="1:13" ht="15">
      <c r="A29" s="17">
        <v>2</v>
      </c>
      <c r="B29" s="15">
        <f>IF(D28&lt;=0,0,SUM($B$12-C29))</f>
        <v>177.23751014275695</v>
      </c>
      <c r="C29" s="15">
        <f>SUM(D28*(RATE/12))</f>
        <v>1055.2951356685223</v>
      </c>
      <c r="D29" s="15">
        <f>IF(SUM(D28-B29-$B$14)&lt;=0,0,SUM(D28-B29-$B$14))</f>
        <v>194646.47984404597</v>
      </c>
      <c r="E29" s="16">
        <f>IF($D28&lt;=0,0,SUM(B29,E28,$B$15))</f>
        <v>353.52015595403623</v>
      </c>
      <c r="F29" s="16">
        <f>IF($D28&lt;=0,0,SUM(C29,F28))</f>
        <v>2111.5451356685226</v>
      </c>
      <c r="G29" s="1"/>
      <c r="H29" s="17">
        <v>2</v>
      </c>
      <c r="I29" s="15">
        <f>IF(K28&lt;=0,0,SUM($E$12-J29))</f>
        <v>659.76807712155244</v>
      </c>
      <c r="J29" s="15">
        <f t="shared" ref="J29:J92" si="0">SUM(K28*(RATE2/12))</f>
        <v>1012.2065125537744</v>
      </c>
      <c r="K29" s="15">
        <f>IF(SUM(K28-I29-$E$14)&lt;=0,0,SUM(K28-I29-$E$14))</f>
        <v>193683.88233320313</v>
      </c>
      <c r="L29" s="16">
        <f>IF($K28&lt;=0,0,SUM(I29,L28,$E$14))</f>
        <v>1316.1176667968793</v>
      </c>
      <c r="M29" s="16">
        <f>IF($K28&lt;=0,0,SUM(J29,M28))</f>
        <v>2027.8315125537742</v>
      </c>
    </row>
    <row r="30" spans="1:13" ht="15">
      <c r="A30" s="17">
        <v>3</v>
      </c>
      <c r="B30" s="15">
        <f t="shared" ref="B30:B93" si="1">IF(D29&lt;=0,0,SUM($B$12-C30))</f>
        <v>178.19754665603023</v>
      </c>
      <c r="C30" s="15">
        <f t="shared" ref="C30:C93" si="2">SUM(D29*(RATE/12))</f>
        <v>1054.3350991552491</v>
      </c>
      <c r="D30" s="15">
        <f t="shared" ref="D30:D93" si="3">IF(SUM(D29-B30-$B$14)&lt;=0,0,SUM(D29-B30-$B$14))</f>
        <v>194468.28229738993</v>
      </c>
      <c r="E30" s="16">
        <f t="shared" ref="E30:E93" si="4">IF($D29&lt;=0,0,SUM(B30,E29,$B$15))</f>
        <v>531.71770261006645</v>
      </c>
      <c r="F30" s="16">
        <f t="shared" ref="F30:F93" si="5">IF($D29&lt;=0,0,SUM(C30,F29))</f>
        <v>3165.8802348237714</v>
      </c>
      <c r="G30" s="1"/>
      <c r="H30" s="17">
        <v>3</v>
      </c>
      <c r="I30" s="15">
        <f t="shared" ref="I30:I93" si="6">IF(K29&lt;=0,0,SUM($E$12-J30))</f>
        <v>663.2043691898939</v>
      </c>
      <c r="J30" s="15">
        <f t="shared" si="0"/>
        <v>1008.7702204854329</v>
      </c>
      <c r="K30" s="15">
        <f t="shared" ref="K30:K93" si="7">IF(SUM(K29-I30-$E$14)&lt;=0,0,SUM(K29-I30-$E$14))</f>
        <v>193020.67796401324</v>
      </c>
      <c r="L30" s="16">
        <f t="shared" ref="L30:L93" si="8">IF($K29&lt;=0,0,SUM(I30,L29,$E$14))</f>
        <v>1979.3220359867732</v>
      </c>
      <c r="M30" s="16">
        <f t="shared" ref="M30:M93" si="9">IF($K29&lt;=0,0,SUM(J30,M29))</f>
        <v>3036.6017330392069</v>
      </c>
    </row>
    <row r="31" spans="1:13" ht="15">
      <c r="A31" s="17">
        <v>4</v>
      </c>
      <c r="B31" s="15">
        <f t="shared" si="1"/>
        <v>179.16278336708388</v>
      </c>
      <c r="C31" s="15">
        <f t="shared" si="2"/>
        <v>1053.3698624441954</v>
      </c>
      <c r="D31" s="15">
        <f t="shared" si="3"/>
        <v>194289.11951402284</v>
      </c>
      <c r="E31" s="16">
        <f t="shared" si="4"/>
        <v>710.88048597715033</v>
      </c>
      <c r="F31" s="16">
        <f t="shared" si="5"/>
        <v>4219.2500972679663</v>
      </c>
      <c r="G31" s="1"/>
      <c r="H31" s="17">
        <v>4</v>
      </c>
      <c r="I31" s="15">
        <f t="shared" si="6"/>
        <v>666.65855861275782</v>
      </c>
      <c r="J31" s="15">
        <f t="shared" si="0"/>
        <v>1005.316031062569</v>
      </c>
      <c r="K31" s="15">
        <f t="shared" si="7"/>
        <v>192354.0194054005</v>
      </c>
      <c r="L31" s="16">
        <f t="shared" si="8"/>
        <v>2645.9805945995313</v>
      </c>
      <c r="M31" s="16">
        <f t="shared" si="9"/>
        <v>4041.9177641017759</v>
      </c>
    </row>
    <row r="32" spans="1:13" ht="15">
      <c r="A32" s="17">
        <v>5</v>
      </c>
      <c r="B32" s="15">
        <f t="shared" si="1"/>
        <v>180.13324844365548</v>
      </c>
      <c r="C32" s="15">
        <f t="shared" si="2"/>
        <v>1052.3993973676238</v>
      </c>
      <c r="D32" s="15">
        <f t="shared" si="3"/>
        <v>194108.98626557918</v>
      </c>
      <c r="E32" s="16">
        <f t="shared" si="4"/>
        <v>891.0137344208058</v>
      </c>
      <c r="F32" s="16">
        <f t="shared" si="5"/>
        <v>5271.6494946355906</v>
      </c>
      <c r="G32" s="1"/>
      <c r="H32" s="17">
        <v>5</v>
      </c>
      <c r="I32" s="15">
        <f t="shared" si="6"/>
        <v>670.13073860553254</v>
      </c>
      <c r="J32" s="15">
        <f t="shared" si="0"/>
        <v>1001.8438510697943</v>
      </c>
      <c r="K32" s="15">
        <f t="shared" si="7"/>
        <v>191683.88866679496</v>
      </c>
      <c r="L32" s="16">
        <f t="shared" si="8"/>
        <v>3316.1113332050636</v>
      </c>
      <c r="M32" s="16">
        <f t="shared" si="9"/>
        <v>5043.7616151715702</v>
      </c>
    </row>
    <row r="33" spans="1:13" ht="15">
      <c r="A33" s="17">
        <v>6</v>
      </c>
      <c r="B33" s="15">
        <f t="shared" si="1"/>
        <v>181.10897020605876</v>
      </c>
      <c r="C33" s="15">
        <f t="shared" si="2"/>
        <v>1051.4236756052205</v>
      </c>
      <c r="D33" s="15">
        <f t="shared" si="3"/>
        <v>193927.87729537312</v>
      </c>
      <c r="E33" s="16">
        <f t="shared" si="4"/>
        <v>1072.1227046268646</v>
      </c>
      <c r="F33" s="16">
        <f t="shared" si="5"/>
        <v>6323.0731702408111</v>
      </c>
      <c r="G33" s="1"/>
      <c r="H33" s="17">
        <v>6</v>
      </c>
      <c r="I33" s="15">
        <f t="shared" si="6"/>
        <v>673.62100286910311</v>
      </c>
      <c r="J33" s="15">
        <f t="shared" si="0"/>
        <v>998.35358680622369</v>
      </c>
      <c r="K33" s="15">
        <f t="shared" si="7"/>
        <v>191010.26766392586</v>
      </c>
      <c r="L33" s="16">
        <f t="shared" si="8"/>
        <v>3989.7323360741666</v>
      </c>
      <c r="M33" s="16">
        <f t="shared" si="9"/>
        <v>6042.1152019777937</v>
      </c>
    </row>
    <row r="34" spans="1:13" ht="15">
      <c r="A34" s="17">
        <v>7</v>
      </c>
      <c r="B34" s="15">
        <f t="shared" si="1"/>
        <v>182.08997712800806</v>
      </c>
      <c r="C34" s="15">
        <f t="shared" si="2"/>
        <v>1050.4426686832712</v>
      </c>
      <c r="D34" s="15">
        <f t="shared" si="3"/>
        <v>193745.78731824513</v>
      </c>
      <c r="E34" s="16">
        <f t="shared" si="4"/>
        <v>1254.2126817548726</v>
      </c>
      <c r="F34" s="16">
        <f t="shared" si="5"/>
        <v>7373.5158389240823</v>
      </c>
      <c r="G34" s="1"/>
      <c r="H34" s="17">
        <v>7</v>
      </c>
      <c r="I34" s="15">
        <f t="shared" si="6"/>
        <v>677.12944559237962</v>
      </c>
      <c r="J34" s="15">
        <f t="shared" si="0"/>
        <v>994.84514408294717</v>
      </c>
      <c r="K34" s="15">
        <f t="shared" si="7"/>
        <v>190333.13821833348</v>
      </c>
      <c r="L34" s="16">
        <f t="shared" si="8"/>
        <v>4666.8617816665464</v>
      </c>
      <c r="M34" s="16">
        <f t="shared" si="9"/>
        <v>7036.9603460607414</v>
      </c>
    </row>
    <row r="35" spans="1:13" ht="15">
      <c r="A35" s="17">
        <v>8</v>
      </c>
      <c r="B35" s="15">
        <f t="shared" si="1"/>
        <v>183.07629783745142</v>
      </c>
      <c r="C35" s="15">
        <f t="shared" si="2"/>
        <v>1049.4563479738279</v>
      </c>
      <c r="D35" s="15">
        <f t="shared" si="3"/>
        <v>193562.71102040767</v>
      </c>
      <c r="E35" s="16">
        <f t="shared" si="4"/>
        <v>1437.288979592324</v>
      </c>
      <c r="F35" s="16">
        <f t="shared" si="5"/>
        <v>8422.9721868979104</v>
      </c>
      <c r="G35" s="1"/>
      <c r="H35" s="17">
        <v>8</v>
      </c>
      <c r="I35" s="15">
        <f t="shared" si="6"/>
        <v>680.65616145484</v>
      </c>
      <c r="J35" s="15">
        <f t="shared" si="0"/>
        <v>991.31842822048679</v>
      </c>
      <c r="K35" s="15">
        <f t="shared" si="7"/>
        <v>189652.48205687865</v>
      </c>
      <c r="L35" s="16">
        <f t="shared" si="8"/>
        <v>5347.5179431213865</v>
      </c>
      <c r="M35" s="16">
        <f t="shared" si="9"/>
        <v>8028.2787742812279</v>
      </c>
    </row>
    <row r="36" spans="1:13" ht="15">
      <c r="A36" s="17">
        <v>9</v>
      </c>
      <c r="B36" s="15">
        <f t="shared" si="1"/>
        <v>184.06796111740437</v>
      </c>
      <c r="C36" s="15">
        <f t="shared" si="2"/>
        <v>1048.4646846938749</v>
      </c>
      <c r="D36" s="15">
        <f t="shared" si="3"/>
        <v>193378.64305929028</v>
      </c>
      <c r="E36" s="16">
        <f t="shared" si="4"/>
        <v>1621.3569407097284</v>
      </c>
      <c r="F36" s="16">
        <f t="shared" si="5"/>
        <v>9471.4368715917844</v>
      </c>
      <c r="G36" s="1"/>
      <c r="H36" s="17">
        <v>9</v>
      </c>
      <c r="I36" s="15">
        <f t="shared" si="6"/>
        <v>684.20124562908381</v>
      </c>
      <c r="J36" s="15">
        <f t="shared" si="0"/>
        <v>987.77334404624298</v>
      </c>
      <c r="K36" s="15">
        <f t="shared" si="7"/>
        <v>188968.28081124957</v>
      </c>
      <c r="L36" s="16">
        <f t="shared" si="8"/>
        <v>6031.7191887504705</v>
      </c>
      <c r="M36" s="16">
        <f t="shared" si="9"/>
        <v>9016.0521183274705</v>
      </c>
    </row>
    <row r="37" spans="1:13" ht="15">
      <c r="A37" s="17">
        <v>10</v>
      </c>
      <c r="B37" s="15">
        <f t="shared" si="1"/>
        <v>185.06499590679027</v>
      </c>
      <c r="C37" s="15">
        <f t="shared" si="2"/>
        <v>1047.467649904489</v>
      </c>
      <c r="D37" s="15">
        <f t="shared" si="3"/>
        <v>193193.57806338349</v>
      </c>
      <c r="E37" s="16">
        <f t="shared" si="4"/>
        <v>1806.4219366165187</v>
      </c>
      <c r="F37" s="16">
        <f t="shared" si="5"/>
        <v>10518.904521496273</v>
      </c>
      <c r="G37" s="1"/>
      <c r="H37" s="17">
        <v>10</v>
      </c>
      <c r="I37" s="15">
        <f t="shared" si="6"/>
        <v>687.76479378340196</v>
      </c>
      <c r="J37" s="15">
        <f t="shared" si="0"/>
        <v>984.20979589192484</v>
      </c>
      <c r="K37" s="15">
        <f t="shared" si="7"/>
        <v>188280.51601746617</v>
      </c>
      <c r="L37" s="16">
        <f t="shared" si="8"/>
        <v>6719.4839825338722</v>
      </c>
      <c r="M37" s="16">
        <f t="shared" si="9"/>
        <v>10000.261914219394</v>
      </c>
    </row>
    <row r="38" spans="1:13" ht="15">
      <c r="A38" s="17">
        <v>11</v>
      </c>
      <c r="B38" s="15">
        <f t="shared" si="1"/>
        <v>186.0674313012853</v>
      </c>
      <c r="C38" s="15">
        <f t="shared" si="2"/>
        <v>1046.465214509994</v>
      </c>
      <c r="D38" s="15">
        <f t="shared" si="3"/>
        <v>193007.51063208221</v>
      </c>
      <c r="E38" s="16">
        <f t="shared" si="4"/>
        <v>1992.489367917804</v>
      </c>
      <c r="F38" s="16">
        <f t="shared" si="5"/>
        <v>11565.369736006267</v>
      </c>
      <c r="G38" s="1"/>
      <c r="H38" s="17">
        <v>11</v>
      </c>
      <c r="I38" s="15">
        <f t="shared" si="6"/>
        <v>691.34690208435723</v>
      </c>
      <c r="J38" s="15">
        <f t="shared" si="0"/>
        <v>980.62768759096957</v>
      </c>
      <c r="K38" s="15">
        <f t="shared" si="7"/>
        <v>187589.16911538181</v>
      </c>
      <c r="L38" s="16">
        <f t="shared" si="8"/>
        <v>7410.8308846182299</v>
      </c>
      <c r="M38" s="16">
        <f t="shared" si="9"/>
        <v>10980.889601810364</v>
      </c>
    </row>
    <row r="39" spans="1:13" ht="15">
      <c r="A39" s="14" t="s">
        <v>31</v>
      </c>
      <c r="B39" s="15">
        <f t="shared" si="1"/>
        <v>187.07529655416738</v>
      </c>
      <c r="C39" s="15">
        <f t="shared" si="2"/>
        <v>1045.4573492571119</v>
      </c>
      <c r="D39" s="15">
        <f t="shared" si="3"/>
        <v>192820.43533552805</v>
      </c>
      <c r="E39" s="16">
        <f t="shared" si="4"/>
        <v>2179.5646644719714</v>
      </c>
      <c r="F39" s="16">
        <f t="shared" si="5"/>
        <v>12610.82708526338</v>
      </c>
      <c r="G39" s="1"/>
      <c r="H39" s="14" t="s">
        <v>31</v>
      </c>
      <c r="I39" s="15">
        <f t="shared" si="6"/>
        <v>694.94766719937991</v>
      </c>
      <c r="J39" s="15">
        <f t="shared" si="0"/>
        <v>977.02692247594689</v>
      </c>
      <c r="K39" s="15">
        <f t="shared" si="7"/>
        <v>186894.22144818242</v>
      </c>
      <c r="L39" s="16">
        <f t="shared" si="8"/>
        <v>8105.7785518176097</v>
      </c>
      <c r="M39" s="16">
        <f t="shared" si="9"/>
        <v>11957.916524286311</v>
      </c>
    </row>
    <row r="40" spans="1:13" ht="15">
      <c r="A40" s="17">
        <v>13</v>
      </c>
      <c r="B40" s="15">
        <f t="shared" si="1"/>
        <v>188.08862107716891</v>
      </c>
      <c r="C40" s="15">
        <f t="shared" si="2"/>
        <v>1044.4440247341104</v>
      </c>
      <c r="D40" s="15">
        <f t="shared" si="3"/>
        <v>192632.34671445089</v>
      </c>
      <c r="E40" s="16">
        <f t="shared" si="4"/>
        <v>2367.6532855491405</v>
      </c>
      <c r="F40" s="16">
        <f t="shared" si="5"/>
        <v>13655.271109997489</v>
      </c>
      <c r="G40" s="1"/>
      <c r="H40" s="17">
        <v>13</v>
      </c>
      <c r="I40" s="15">
        <f t="shared" si="6"/>
        <v>698.56718629937677</v>
      </c>
      <c r="J40" s="15">
        <f t="shared" si="0"/>
        <v>973.40740337595003</v>
      </c>
      <c r="K40" s="15">
        <f t="shared" si="7"/>
        <v>186195.65426188306</v>
      </c>
      <c r="L40" s="16">
        <f t="shared" si="8"/>
        <v>8804.3457381169865</v>
      </c>
      <c r="M40" s="16">
        <f t="shared" si="9"/>
        <v>12931.323927662261</v>
      </c>
    </row>
    <row r="41" spans="1:13" ht="15">
      <c r="A41" s="17">
        <v>14</v>
      </c>
      <c r="B41" s="15">
        <f t="shared" si="1"/>
        <v>189.10743444133686</v>
      </c>
      <c r="C41" s="15">
        <f t="shared" si="2"/>
        <v>1043.4252113699424</v>
      </c>
      <c r="D41" s="15">
        <f t="shared" si="3"/>
        <v>192443.23928000955</v>
      </c>
      <c r="E41" s="16">
        <f t="shared" si="4"/>
        <v>2556.7607199904774</v>
      </c>
      <c r="F41" s="16">
        <f t="shared" si="5"/>
        <v>14698.696321367432</v>
      </c>
      <c r="G41" s="1"/>
      <c r="H41" s="17">
        <v>14</v>
      </c>
      <c r="I41" s="15">
        <f t="shared" si="6"/>
        <v>702.20555706135258</v>
      </c>
      <c r="J41" s="15">
        <f t="shared" si="0"/>
        <v>969.76903261397422</v>
      </c>
      <c r="K41" s="15">
        <f t="shared" si="7"/>
        <v>185493.4487048217</v>
      </c>
      <c r="L41" s="16">
        <f t="shared" si="8"/>
        <v>9506.5512951783385</v>
      </c>
      <c r="M41" s="16">
        <f t="shared" si="9"/>
        <v>13901.092960276235</v>
      </c>
    </row>
    <row r="42" spans="1:13" ht="15">
      <c r="A42" s="17">
        <v>15</v>
      </c>
      <c r="B42" s="15">
        <f t="shared" si="1"/>
        <v>190.13176637789411</v>
      </c>
      <c r="C42" s="15">
        <f t="shared" si="2"/>
        <v>1042.4008794333852</v>
      </c>
      <c r="D42" s="15">
        <f t="shared" si="3"/>
        <v>192253.10751363166</v>
      </c>
      <c r="E42" s="16">
        <f t="shared" si="4"/>
        <v>2746.8924863683715</v>
      </c>
      <c r="F42" s="16">
        <f t="shared" si="5"/>
        <v>15741.097200800818</v>
      </c>
      <c r="G42" s="1"/>
      <c r="H42" s="17">
        <v>15</v>
      </c>
      <c r="I42" s="15">
        <f t="shared" si="6"/>
        <v>705.86287767104716</v>
      </c>
      <c r="J42" s="15">
        <f t="shared" si="0"/>
        <v>966.11171200427964</v>
      </c>
      <c r="K42" s="15">
        <f t="shared" si="7"/>
        <v>184787.58582715064</v>
      </c>
      <c r="L42" s="16">
        <f t="shared" si="8"/>
        <v>10212.414172849385</v>
      </c>
      <c r="M42" s="16">
        <f t="shared" si="9"/>
        <v>14867.204672280515</v>
      </c>
    </row>
    <row r="43" spans="1:13" ht="15">
      <c r="A43" s="17">
        <v>16</v>
      </c>
      <c r="B43" s="15">
        <f t="shared" si="1"/>
        <v>191.16164677910774</v>
      </c>
      <c r="C43" s="15">
        <f t="shared" si="2"/>
        <v>1041.3709990321715</v>
      </c>
      <c r="D43" s="15">
        <f t="shared" si="3"/>
        <v>192061.94586685256</v>
      </c>
      <c r="E43" s="16">
        <f t="shared" si="4"/>
        <v>2938.0541331474792</v>
      </c>
      <c r="F43" s="16">
        <f t="shared" si="5"/>
        <v>16782.468199832991</v>
      </c>
      <c r="G43" s="1"/>
      <c r="H43" s="17">
        <v>16</v>
      </c>
      <c r="I43" s="15">
        <f t="shared" si="6"/>
        <v>709.53924682558386</v>
      </c>
      <c r="J43" s="15">
        <f t="shared" si="0"/>
        <v>962.43534284974294</v>
      </c>
      <c r="K43" s="15">
        <f t="shared" si="7"/>
        <v>184078.04658032506</v>
      </c>
      <c r="L43" s="16">
        <f t="shared" si="8"/>
        <v>10921.953419674968</v>
      </c>
      <c r="M43" s="16">
        <f t="shared" si="9"/>
        <v>15829.640015130259</v>
      </c>
    </row>
    <row r="44" spans="1:13" ht="15">
      <c r="A44" s="17">
        <v>17</v>
      </c>
      <c r="B44" s="15">
        <f t="shared" si="1"/>
        <v>192.19710569916128</v>
      </c>
      <c r="C44" s="15">
        <f t="shared" si="2"/>
        <v>1040.335540112118</v>
      </c>
      <c r="D44" s="15">
        <f t="shared" si="3"/>
        <v>191869.7487611534</v>
      </c>
      <c r="E44" s="16">
        <f t="shared" si="4"/>
        <v>3130.2512388466403</v>
      </c>
      <c r="F44" s="16">
        <f t="shared" si="5"/>
        <v>17822.80373994511</v>
      </c>
      <c r="G44" s="1"/>
      <c r="H44" s="17">
        <v>17</v>
      </c>
      <c r="I44" s="15">
        <f t="shared" si="6"/>
        <v>713.2347637361338</v>
      </c>
      <c r="J44" s="15">
        <f t="shared" si="0"/>
        <v>958.739825939193</v>
      </c>
      <c r="K44" s="15">
        <f t="shared" si="7"/>
        <v>183364.81181658892</v>
      </c>
      <c r="L44" s="16">
        <f t="shared" si="8"/>
        <v>11635.188183411103</v>
      </c>
      <c r="M44" s="16">
        <f t="shared" si="9"/>
        <v>16788.379841069451</v>
      </c>
    </row>
    <row r="45" spans="1:13" ht="15">
      <c r="A45" s="17">
        <v>18</v>
      </c>
      <c r="B45" s="15">
        <f t="shared" si="1"/>
        <v>193.23817335503168</v>
      </c>
      <c r="C45" s="15">
        <f t="shared" si="2"/>
        <v>1039.2944724562476</v>
      </c>
      <c r="D45" s="15">
        <f t="shared" si="3"/>
        <v>191676.51058779837</v>
      </c>
      <c r="E45" s="16">
        <f t="shared" si="4"/>
        <v>3323.4894122016722</v>
      </c>
      <c r="F45" s="16">
        <f t="shared" si="5"/>
        <v>18862.098212401357</v>
      </c>
      <c r="G45" s="1"/>
      <c r="H45" s="17">
        <v>18</v>
      </c>
      <c r="I45" s="15">
        <f t="shared" si="6"/>
        <v>716.94952813059285</v>
      </c>
      <c r="J45" s="15">
        <f t="shared" si="0"/>
        <v>955.02506154473394</v>
      </c>
      <c r="K45" s="15">
        <f t="shared" si="7"/>
        <v>182647.86228845833</v>
      </c>
      <c r="L45" s="16">
        <f t="shared" si="8"/>
        <v>12352.137711541696</v>
      </c>
      <c r="M45" s="16">
        <f t="shared" si="9"/>
        <v>17743.404902614184</v>
      </c>
    </row>
    <row r="46" spans="1:13" ht="15">
      <c r="A46" s="17">
        <v>19</v>
      </c>
      <c r="B46" s="15">
        <f t="shared" si="1"/>
        <v>194.28488012737148</v>
      </c>
      <c r="C46" s="15">
        <f t="shared" si="2"/>
        <v>1038.2477656839078</v>
      </c>
      <c r="D46" s="15">
        <f t="shared" si="3"/>
        <v>191482.22570767099</v>
      </c>
      <c r="E46" s="16">
        <f t="shared" si="4"/>
        <v>3517.7742923290434</v>
      </c>
      <c r="F46" s="16">
        <f t="shared" si="5"/>
        <v>19900.345978085265</v>
      </c>
      <c r="G46" s="1"/>
      <c r="H46" s="17">
        <v>19</v>
      </c>
      <c r="I46" s="15">
        <f t="shared" si="6"/>
        <v>720.68364025627307</v>
      </c>
      <c r="J46" s="15">
        <f t="shared" si="0"/>
        <v>951.29094941905373</v>
      </c>
      <c r="K46" s="15">
        <f t="shared" si="7"/>
        <v>181927.17864820207</v>
      </c>
      <c r="L46" s="16">
        <f t="shared" si="8"/>
        <v>13072.821351797969</v>
      </c>
      <c r="M46" s="16">
        <f t="shared" si="9"/>
        <v>18694.695852033237</v>
      </c>
    </row>
    <row r="47" spans="1:13" ht="15">
      <c r="A47" s="17">
        <v>20</v>
      </c>
      <c r="B47" s="15">
        <f t="shared" si="1"/>
        <v>195.33725656139472</v>
      </c>
      <c r="C47" s="15">
        <f t="shared" si="2"/>
        <v>1037.1953892498846</v>
      </c>
      <c r="D47" s="15">
        <f t="shared" si="3"/>
        <v>191286.88845110961</v>
      </c>
      <c r="E47" s="16">
        <f t="shared" si="4"/>
        <v>3713.1115488904379</v>
      </c>
      <c r="F47" s="16">
        <f t="shared" si="5"/>
        <v>20937.54136733515</v>
      </c>
      <c r="G47" s="1"/>
      <c r="H47" s="17">
        <v>20</v>
      </c>
      <c r="I47" s="15">
        <f t="shared" si="6"/>
        <v>724.43720088260773</v>
      </c>
      <c r="J47" s="15">
        <f t="shared" si="0"/>
        <v>947.53738879271907</v>
      </c>
      <c r="K47" s="15">
        <f t="shared" si="7"/>
        <v>181202.74144731945</v>
      </c>
      <c r="L47" s="16">
        <f t="shared" si="8"/>
        <v>13797.258552680578</v>
      </c>
      <c r="M47" s="16">
        <f t="shared" si="9"/>
        <v>19642.233240825957</v>
      </c>
    </row>
    <row r="48" spans="1:13" ht="15">
      <c r="A48" s="17">
        <v>21</v>
      </c>
      <c r="B48" s="15">
        <f t="shared" si="1"/>
        <v>196.3953333677689</v>
      </c>
      <c r="C48" s="15">
        <f t="shared" si="2"/>
        <v>1036.1373124435104</v>
      </c>
      <c r="D48" s="15">
        <f t="shared" si="3"/>
        <v>191090.49311774183</v>
      </c>
      <c r="E48" s="16">
        <f t="shared" si="4"/>
        <v>3909.506882258207</v>
      </c>
      <c r="F48" s="16">
        <f t="shared" si="5"/>
        <v>21973.678679778663</v>
      </c>
      <c r="G48" s="1"/>
      <c r="H48" s="17">
        <v>21</v>
      </c>
      <c r="I48" s="15">
        <f t="shared" si="6"/>
        <v>728.21031130387132</v>
      </c>
      <c r="J48" s="15">
        <f t="shared" si="0"/>
        <v>943.76427837145548</v>
      </c>
      <c r="K48" s="15">
        <f t="shared" si="7"/>
        <v>180474.53113601558</v>
      </c>
      <c r="L48" s="16">
        <f t="shared" si="8"/>
        <v>14525.46886398445</v>
      </c>
      <c r="M48" s="16">
        <f t="shared" si="9"/>
        <v>20585.997519197412</v>
      </c>
    </row>
    <row r="49" spans="1:13" ht="15">
      <c r="A49" s="17">
        <v>22</v>
      </c>
      <c r="B49" s="15">
        <f t="shared" si="1"/>
        <v>197.45914142351103</v>
      </c>
      <c r="C49" s="15">
        <f t="shared" si="2"/>
        <v>1035.0735043877683</v>
      </c>
      <c r="D49" s="15">
        <f t="shared" si="3"/>
        <v>190893.03397631831</v>
      </c>
      <c r="E49" s="16">
        <f t="shared" si="4"/>
        <v>4106.9660236817181</v>
      </c>
      <c r="F49" s="16">
        <f t="shared" si="5"/>
        <v>23008.752184166431</v>
      </c>
      <c r="G49" s="1"/>
      <c r="H49" s="17">
        <v>22</v>
      </c>
      <c r="I49" s="15">
        <f t="shared" si="6"/>
        <v>732.00307334191234</v>
      </c>
      <c r="J49" s="15">
        <f t="shared" si="0"/>
        <v>939.97151633341446</v>
      </c>
      <c r="K49" s="15">
        <f t="shared" si="7"/>
        <v>179742.52806267366</v>
      </c>
      <c r="L49" s="16">
        <f t="shared" si="8"/>
        <v>15257.471937326362</v>
      </c>
      <c r="M49" s="16">
        <f t="shared" si="9"/>
        <v>21525.969035530827</v>
      </c>
    </row>
    <row r="50" spans="1:13" ht="15">
      <c r="A50" s="17">
        <v>23</v>
      </c>
      <c r="B50" s="15">
        <f t="shared" si="1"/>
        <v>198.5287117728883</v>
      </c>
      <c r="C50" s="15">
        <f t="shared" si="2"/>
        <v>1034.003934038391</v>
      </c>
      <c r="D50" s="15">
        <f t="shared" si="3"/>
        <v>190694.50526454541</v>
      </c>
      <c r="E50" s="16">
        <f t="shared" si="4"/>
        <v>4305.4947354546066</v>
      </c>
      <c r="F50" s="16">
        <f t="shared" si="5"/>
        <v>24042.756118204823</v>
      </c>
      <c r="G50" s="1"/>
      <c r="H50" s="17">
        <v>23</v>
      </c>
      <c r="I50" s="15">
        <f t="shared" si="6"/>
        <v>735.81558934890154</v>
      </c>
      <c r="J50" s="15">
        <f t="shared" si="0"/>
        <v>936.15900032642526</v>
      </c>
      <c r="K50" s="15">
        <f t="shared" si="7"/>
        <v>179006.71247332476</v>
      </c>
      <c r="L50" s="16">
        <f t="shared" si="8"/>
        <v>15993.287526675264</v>
      </c>
      <c r="M50" s="16">
        <f t="shared" si="9"/>
        <v>22462.128035857251</v>
      </c>
    </row>
    <row r="51" spans="1:13" ht="15">
      <c r="A51" s="14" t="s">
        <v>32</v>
      </c>
      <c r="B51" s="15">
        <f t="shared" si="1"/>
        <v>199.60407562832484</v>
      </c>
      <c r="C51" s="15">
        <f t="shared" si="2"/>
        <v>1032.9285701829544</v>
      </c>
      <c r="D51" s="15">
        <f t="shared" si="3"/>
        <v>190494.90118891708</v>
      </c>
      <c r="E51" s="16">
        <f t="shared" si="4"/>
        <v>4505.0988110829312</v>
      </c>
      <c r="F51" s="16">
        <f t="shared" si="5"/>
        <v>25075.684688387777</v>
      </c>
      <c r="G51" s="1"/>
      <c r="H51" s="14" t="s">
        <v>32</v>
      </c>
      <c r="I51" s="15">
        <f t="shared" si="6"/>
        <v>739.64796221009374</v>
      </c>
      <c r="J51" s="15">
        <f t="shared" si="0"/>
        <v>932.32662746523306</v>
      </c>
      <c r="K51" s="15">
        <f t="shared" si="7"/>
        <v>178267.06451111467</v>
      </c>
      <c r="L51" s="16">
        <f t="shared" si="8"/>
        <v>16732.935488885356</v>
      </c>
      <c r="M51" s="16">
        <f t="shared" si="9"/>
        <v>23394.454663322485</v>
      </c>
    </row>
    <row r="52" spans="1:13" ht="15">
      <c r="A52" s="17">
        <v>25</v>
      </c>
      <c r="B52" s="15">
        <f t="shared" si="1"/>
        <v>200.68526437131163</v>
      </c>
      <c r="C52" s="15">
        <f t="shared" si="2"/>
        <v>1031.8473814399676</v>
      </c>
      <c r="D52" s="15">
        <f t="shared" si="3"/>
        <v>190294.21592454577</v>
      </c>
      <c r="E52" s="16">
        <f t="shared" si="4"/>
        <v>4705.7840754542431</v>
      </c>
      <c r="F52" s="16">
        <f t="shared" si="5"/>
        <v>26107.532069827743</v>
      </c>
      <c r="G52" s="1"/>
      <c r="H52" s="17">
        <v>25</v>
      </c>
      <c r="I52" s="15">
        <f t="shared" si="6"/>
        <v>743.50029534660462</v>
      </c>
      <c r="J52" s="15">
        <f t="shared" si="0"/>
        <v>928.47429432872218</v>
      </c>
      <c r="K52" s="15">
        <f t="shared" si="7"/>
        <v>177523.56421576807</v>
      </c>
      <c r="L52" s="16">
        <f t="shared" si="8"/>
        <v>17476.435784231959</v>
      </c>
      <c r="M52" s="16">
        <f t="shared" si="9"/>
        <v>24322.928957651209</v>
      </c>
    </row>
    <row r="53" spans="1:13" ht="15">
      <c r="A53" s="17">
        <v>26</v>
      </c>
      <c r="B53" s="15">
        <f t="shared" si="1"/>
        <v>201.77230955332288</v>
      </c>
      <c r="C53" s="15">
        <f t="shared" si="2"/>
        <v>1030.7603362579564</v>
      </c>
      <c r="D53" s="15">
        <f t="shared" si="3"/>
        <v>190092.44361499246</v>
      </c>
      <c r="E53" s="16">
        <f t="shared" si="4"/>
        <v>4907.556385007566</v>
      </c>
      <c r="F53" s="16">
        <f t="shared" si="5"/>
        <v>27138.2924060857</v>
      </c>
      <c r="G53" s="1"/>
      <c r="H53" s="17">
        <v>26</v>
      </c>
      <c r="I53" s="15">
        <f t="shared" si="6"/>
        <v>747.37269271820151</v>
      </c>
      <c r="J53" s="15">
        <f t="shared" si="0"/>
        <v>924.60189695712529</v>
      </c>
      <c r="K53" s="15">
        <f t="shared" si="7"/>
        <v>176776.19152304987</v>
      </c>
      <c r="L53" s="16">
        <f t="shared" si="8"/>
        <v>18223.808476950158</v>
      </c>
      <c r="M53" s="16">
        <f t="shared" si="9"/>
        <v>25247.530854608336</v>
      </c>
    </row>
    <row r="54" spans="1:13" ht="15">
      <c r="A54" s="17">
        <v>27</v>
      </c>
      <c r="B54" s="15">
        <f t="shared" si="1"/>
        <v>202.86524289673685</v>
      </c>
      <c r="C54" s="15">
        <f t="shared" si="2"/>
        <v>1029.6674029145424</v>
      </c>
      <c r="D54" s="15">
        <f t="shared" si="3"/>
        <v>189889.57837209571</v>
      </c>
      <c r="E54" s="16">
        <f t="shared" si="4"/>
        <v>5110.421627904303</v>
      </c>
      <c r="F54" s="16">
        <f t="shared" si="5"/>
        <v>28167.959809000244</v>
      </c>
      <c r="G54" s="1"/>
      <c r="H54" s="17">
        <v>27</v>
      </c>
      <c r="I54" s="15">
        <f t="shared" si="6"/>
        <v>751.26525882610872</v>
      </c>
      <c r="J54" s="15">
        <f t="shared" si="0"/>
        <v>920.70933084921808</v>
      </c>
      <c r="K54" s="15">
        <f t="shared" si="7"/>
        <v>176024.92626422376</v>
      </c>
      <c r="L54" s="16">
        <f t="shared" si="8"/>
        <v>18975.073735776266</v>
      </c>
      <c r="M54" s="16">
        <f t="shared" si="9"/>
        <v>26168.240185457555</v>
      </c>
    </row>
    <row r="55" spans="1:13" ht="15">
      <c r="A55" s="17">
        <v>28</v>
      </c>
      <c r="B55" s="15">
        <f t="shared" si="1"/>
        <v>203.96409629576078</v>
      </c>
      <c r="C55" s="15">
        <f t="shared" si="2"/>
        <v>1028.5685495155185</v>
      </c>
      <c r="D55" s="15">
        <f t="shared" si="3"/>
        <v>189685.61427579995</v>
      </c>
      <c r="E55" s="16">
        <f t="shared" si="4"/>
        <v>5314.385724200064</v>
      </c>
      <c r="F55" s="16">
        <f t="shared" si="5"/>
        <v>29196.528358515763</v>
      </c>
      <c r="G55" s="1"/>
      <c r="H55" s="17">
        <v>28</v>
      </c>
      <c r="I55" s="15">
        <f t="shared" si="6"/>
        <v>755.17809871582813</v>
      </c>
      <c r="J55" s="15">
        <f t="shared" si="0"/>
        <v>916.79649095949867</v>
      </c>
      <c r="K55" s="15">
        <f t="shared" si="7"/>
        <v>175269.74816550792</v>
      </c>
      <c r="L55" s="16">
        <f t="shared" si="8"/>
        <v>19730.251834492094</v>
      </c>
      <c r="M55" s="16">
        <f t="shared" si="9"/>
        <v>27085.036676417054</v>
      </c>
    </row>
    <row r="56" spans="1:13" ht="15">
      <c r="A56" s="17">
        <v>29</v>
      </c>
      <c r="B56" s="15">
        <f t="shared" si="1"/>
        <v>205.06890181736276</v>
      </c>
      <c r="C56" s="15">
        <f t="shared" si="2"/>
        <v>1027.4637439939165</v>
      </c>
      <c r="D56" s="15">
        <f t="shared" si="3"/>
        <v>189480.54537398258</v>
      </c>
      <c r="E56" s="16">
        <f t="shared" si="4"/>
        <v>5519.4546260174266</v>
      </c>
      <c r="F56" s="16">
        <f t="shared" si="5"/>
        <v>30223.992102509681</v>
      </c>
      <c r="G56" s="1"/>
      <c r="H56" s="17">
        <v>29</v>
      </c>
      <c r="I56" s="15">
        <f t="shared" si="6"/>
        <v>759.11131797997314</v>
      </c>
      <c r="J56" s="15">
        <f t="shared" si="0"/>
        <v>912.86327169535366</v>
      </c>
      <c r="K56" s="15">
        <f t="shared" si="7"/>
        <v>174510.63684752793</v>
      </c>
      <c r="L56" s="16">
        <f t="shared" si="8"/>
        <v>20489.363152472066</v>
      </c>
      <c r="M56" s="16">
        <f t="shared" si="9"/>
        <v>27997.899948112408</v>
      </c>
    </row>
    <row r="57" spans="1:13" ht="15">
      <c r="A57" s="17">
        <v>30</v>
      </c>
      <c r="B57" s="15">
        <f t="shared" si="1"/>
        <v>206.17969170220704</v>
      </c>
      <c r="C57" s="15">
        <f t="shared" si="2"/>
        <v>1026.3529541090722</v>
      </c>
      <c r="D57" s="15">
        <f t="shared" si="3"/>
        <v>189274.36568228036</v>
      </c>
      <c r="E57" s="16">
        <f t="shared" si="4"/>
        <v>5725.6343177196341</v>
      </c>
      <c r="F57" s="16">
        <f t="shared" si="5"/>
        <v>31250.345056618753</v>
      </c>
      <c r="G57" s="1"/>
      <c r="H57" s="17">
        <v>30</v>
      </c>
      <c r="I57" s="15">
        <f t="shared" si="6"/>
        <v>763.06502276111883</v>
      </c>
      <c r="J57" s="15">
        <f t="shared" si="0"/>
        <v>908.90956691420797</v>
      </c>
      <c r="K57" s="15">
        <f t="shared" si="7"/>
        <v>173747.57182476681</v>
      </c>
      <c r="L57" s="16">
        <f t="shared" si="8"/>
        <v>21252.428175233184</v>
      </c>
      <c r="M57" s="16">
        <f t="shared" si="9"/>
        <v>28906.809515026616</v>
      </c>
    </row>
    <row r="58" spans="1:13" ht="15">
      <c r="A58" s="17">
        <v>31</v>
      </c>
      <c r="B58" s="15">
        <f t="shared" si="1"/>
        <v>207.29649836559406</v>
      </c>
      <c r="C58" s="15">
        <f t="shared" si="2"/>
        <v>1025.2361474456852</v>
      </c>
      <c r="D58" s="15">
        <f t="shared" si="3"/>
        <v>189067.06918391478</v>
      </c>
      <c r="E58" s="16">
        <f t="shared" si="4"/>
        <v>5932.9308160852279</v>
      </c>
      <c r="F58" s="16">
        <f t="shared" si="5"/>
        <v>32275.581204064438</v>
      </c>
      <c r="G58" s="1"/>
      <c r="H58" s="17">
        <v>31</v>
      </c>
      <c r="I58" s="15">
        <f t="shared" si="6"/>
        <v>767.03931975466639</v>
      </c>
      <c r="J58" s="15">
        <f t="shared" si="0"/>
        <v>904.9352699206604</v>
      </c>
      <c r="K58" s="15">
        <f t="shared" si="7"/>
        <v>172980.53250501215</v>
      </c>
      <c r="L58" s="16">
        <f t="shared" si="8"/>
        <v>22019.46749498785</v>
      </c>
      <c r="M58" s="16">
        <f t="shared" si="9"/>
        <v>29811.744784947277</v>
      </c>
    </row>
    <row r="59" spans="1:13" ht="15">
      <c r="A59" s="17">
        <v>32</v>
      </c>
      <c r="B59" s="15">
        <f t="shared" si="1"/>
        <v>208.41935439840745</v>
      </c>
      <c r="C59" s="15">
        <f t="shared" si="2"/>
        <v>1024.1132914128718</v>
      </c>
      <c r="D59" s="15">
        <f t="shared" si="3"/>
        <v>188858.64982951636</v>
      </c>
      <c r="E59" s="16">
        <f t="shared" si="4"/>
        <v>6141.3501704836353</v>
      </c>
      <c r="F59" s="16">
        <f t="shared" si="5"/>
        <v>33299.694495477306</v>
      </c>
      <c r="G59" s="1"/>
      <c r="H59" s="17">
        <v>32</v>
      </c>
      <c r="I59" s="15">
        <f t="shared" si="6"/>
        <v>771.03431621172194</v>
      </c>
      <c r="J59" s="15">
        <f t="shared" si="0"/>
        <v>900.94027346360485</v>
      </c>
      <c r="K59" s="15">
        <f t="shared" si="7"/>
        <v>172209.49818880041</v>
      </c>
      <c r="L59" s="16">
        <f t="shared" si="8"/>
        <v>22790.501811199571</v>
      </c>
      <c r="M59" s="16">
        <f t="shared" si="9"/>
        <v>30712.685058410883</v>
      </c>
    </row>
    <row r="60" spans="1:13" ht="15">
      <c r="A60" s="17">
        <v>33</v>
      </c>
      <c r="B60" s="15">
        <f t="shared" si="1"/>
        <v>209.54829256806556</v>
      </c>
      <c r="C60" s="15">
        <f t="shared" si="2"/>
        <v>1022.9843532432137</v>
      </c>
      <c r="D60" s="15">
        <f t="shared" si="3"/>
        <v>188649.10153694829</v>
      </c>
      <c r="E60" s="16">
        <f t="shared" si="4"/>
        <v>6350.8984630517007</v>
      </c>
      <c r="F60" s="16">
        <f t="shared" si="5"/>
        <v>34322.678848720519</v>
      </c>
      <c r="G60" s="1"/>
      <c r="H60" s="17">
        <v>33</v>
      </c>
      <c r="I60" s="15">
        <f t="shared" si="6"/>
        <v>775.0501199419914</v>
      </c>
      <c r="J60" s="15">
        <f t="shared" si="0"/>
        <v>896.9244697333354</v>
      </c>
      <c r="K60" s="15">
        <f t="shared" si="7"/>
        <v>171434.44806885842</v>
      </c>
      <c r="L60" s="16">
        <f t="shared" si="8"/>
        <v>23565.551931141563</v>
      </c>
      <c r="M60" s="16">
        <f t="shared" si="9"/>
        <v>31609.609528144218</v>
      </c>
    </row>
    <row r="61" spans="1:13" ht="15">
      <c r="A61" s="17">
        <v>34</v>
      </c>
      <c r="B61" s="15">
        <f t="shared" si="1"/>
        <v>210.68334581947602</v>
      </c>
      <c r="C61" s="15">
        <f t="shared" si="2"/>
        <v>1021.8492999918033</v>
      </c>
      <c r="D61" s="15">
        <f t="shared" si="3"/>
        <v>188438.41819112882</v>
      </c>
      <c r="E61" s="16">
        <f t="shared" si="4"/>
        <v>6561.5818088711767</v>
      </c>
      <c r="F61" s="16">
        <f t="shared" si="5"/>
        <v>35344.528148712321</v>
      </c>
      <c r="G61" s="1"/>
      <c r="H61" s="17">
        <v>34</v>
      </c>
      <c r="I61" s="15">
        <f t="shared" si="6"/>
        <v>779.08683931668929</v>
      </c>
      <c r="J61" s="15">
        <f t="shared" si="0"/>
        <v>892.8877503586375</v>
      </c>
      <c r="K61" s="15">
        <f t="shared" si="7"/>
        <v>170655.36122954171</v>
      </c>
      <c r="L61" s="16">
        <f t="shared" si="8"/>
        <v>24344.638770458252</v>
      </c>
      <c r="M61" s="16">
        <f t="shared" si="9"/>
        <v>32502.497278502855</v>
      </c>
    </row>
    <row r="62" spans="1:13" ht="15">
      <c r="A62" s="17">
        <v>35</v>
      </c>
      <c r="B62" s="15">
        <f t="shared" si="1"/>
        <v>211.82454727599816</v>
      </c>
      <c r="C62" s="15">
        <f t="shared" si="2"/>
        <v>1020.7080985352811</v>
      </c>
      <c r="D62" s="15">
        <f t="shared" si="3"/>
        <v>188226.59364385283</v>
      </c>
      <c r="E62" s="16">
        <f t="shared" si="4"/>
        <v>6773.4063561471748</v>
      </c>
      <c r="F62" s="16">
        <f t="shared" si="5"/>
        <v>36365.236247247602</v>
      </c>
      <c r="G62" s="1"/>
      <c r="H62" s="17">
        <v>35</v>
      </c>
      <c r="I62" s="15">
        <f t="shared" si="6"/>
        <v>783.14458327146372</v>
      </c>
      <c r="J62" s="15">
        <f t="shared" si="0"/>
        <v>888.83000640386308</v>
      </c>
      <c r="K62" s="15">
        <f t="shared" si="7"/>
        <v>169872.21664627024</v>
      </c>
      <c r="L62" s="16">
        <f t="shared" si="8"/>
        <v>25127.783353729716</v>
      </c>
      <c r="M62" s="16">
        <f t="shared" si="9"/>
        <v>33391.327284906714</v>
      </c>
    </row>
    <row r="63" spans="1:13" ht="15">
      <c r="A63" s="14" t="s">
        <v>33</v>
      </c>
      <c r="B63" s="15">
        <f t="shared" si="1"/>
        <v>212.97193024040973</v>
      </c>
      <c r="C63" s="15">
        <f t="shared" si="2"/>
        <v>1019.5607155708695</v>
      </c>
      <c r="D63" s="15">
        <f t="shared" si="3"/>
        <v>188013.62171361243</v>
      </c>
      <c r="E63" s="16">
        <f t="shared" si="4"/>
        <v>6986.3782863875849</v>
      </c>
      <c r="F63" s="16">
        <f t="shared" si="5"/>
        <v>37384.796962818473</v>
      </c>
      <c r="G63" s="1"/>
      <c r="H63" s="14" t="s">
        <v>33</v>
      </c>
      <c r="I63" s="15">
        <f t="shared" si="6"/>
        <v>787.22346130933602</v>
      </c>
      <c r="J63" s="15">
        <f t="shared" si="0"/>
        <v>884.75112836599078</v>
      </c>
      <c r="K63" s="15">
        <f t="shared" si="7"/>
        <v>169084.99318496091</v>
      </c>
      <c r="L63" s="16">
        <f t="shared" si="8"/>
        <v>25915.006815039051</v>
      </c>
      <c r="M63" s="16">
        <f t="shared" si="9"/>
        <v>34276.078413272706</v>
      </c>
    </row>
    <row r="64" spans="1:13" ht="15">
      <c r="A64" s="17">
        <v>37</v>
      </c>
      <c r="B64" s="15">
        <f t="shared" si="1"/>
        <v>214.12552819587859</v>
      </c>
      <c r="C64" s="15">
        <f t="shared" si="2"/>
        <v>1018.4071176154007</v>
      </c>
      <c r="D64" s="15">
        <f t="shared" si="3"/>
        <v>187799.49618541656</v>
      </c>
      <c r="E64" s="16">
        <f t="shared" si="4"/>
        <v>7200.5038145834633</v>
      </c>
      <c r="F64" s="16">
        <f t="shared" si="5"/>
        <v>38403.204080433876</v>
      </c>
      <c r="G64" s="1"/>
      <c r="H64" s="17">
        <v>37</v>
      </c>
      <c r="I64" s="15">
        <f t="shared" si="6"/>
        <v>791.32358350365541</v>
      </c>
      <c r="J64" s="15">
        <f t="shared" si="0"/>
        <v>880.65100617167138</v>
      </c>
      <c r="K64" s="15">
        <f t="shared" si="7"/>
        <v>168293.66960145725</v>
      </c>
      <c r="L64" s="16">
        <f t="shared" si="8"/>
        <v>26706.330398542705</v>
      </c>
      <c r="M64" s="16">
        <f t="shared" si="9"/>
        <v>35156.729419444375</v>
      </c>
    </row>
    <row r="65" spans="1:13" ht="15">
      <c r="A65" s="17">
        <v>38</v>
      </c>
      <c r="B65" s="15">
        <f t="shared" si="1"/>
        <v>215.28537480693956</v>
      </c>
      <c r="C65" s="15">
        <f t="shared" si="2"/>
        <v>1017.2472710043397</v>
      </c>
      <c r="D65" s="15">
        <f t="shared" si="3"/>
        <v>187584.21081060963</v>
      </c>
      <c r="E65" s="16">
        <f t="shared" si="4"/>
        <v>7415.7891893904025</v>
      </c>
      <c r="F65" s="16">
        <f t="shared" si="5"/>
        <v>39420.451351438212</v>
      </c>
      <c r="G65" s="1"/>
      <c r="H65" s="17">
        <v>38</v>
      </c>
      <c r="I65" s="15">
        <f t="shared" si="6"/>
        <v>795.44506050107032</v>
      </c>
      <c r="J65" s="15">
        <f t="shared" si="0"/>
        <v>876.52952917425648</v>
      </c>
      <c r="K65" s="15">
        <f t="shared" si="7"/>
        <v>167498.22454095617</v>
      </c>
      <c r="L65" s="16">
        <f t="shared" si="8"/>
        <v>27501.775459043776</v>
      </c>
      <c r="M65" s="16">
        <f t="shared" si="9"/>
        <v>36033.258948618633</v>
      </c>
    </row>
    <row r="66" spans="1:13" ht="15">
      <c r="A66" s="17">
        <v>39</v>
      </c>
      <c r="B66" s="15">
        <f t="shared" si="1"/>
        <v>216.45150392047708</v>
      </c>
      <c r="C66" s="15">
        <f t="shared" si="2"/>
        <v>1016.0811418908022</v>
      </c>
      <c r="D66" s="15">
        <f t="shared" si="3"/>
        <v>187367.75930668914</v>
      </c>
      <c r="E66" s="16">
        <f t="shared" si="4"/>
        <v>7632.2406933108796</v>
      </c>
      <c r="F66" s="16">
        <f t="shared" si="5"/>
        <v>40436.532493329018</v>
      </c>
      <c r="G66" s="1"/>
      <c r="H66" s="17">
        <v>39</v>
      </c>
      <c r="I66" s="15">
        <f t="shared" si="6"/>
        <v>799.5880035245134</v>
      </c>
      <c r="J66" s="15">
        <f t="shared" si="0"/>
        <v>872.3865861508134</v>
      </c>
      <c r="K66" s="15">
        <f t="shared" si="7"/>
        <v>166698.63653743165</v>
      </c>
      <c r="L66" s="16">
        <f t="shared" si="8"/>
        <v>28301.36346256829</v>
      </c>
      <c r="M66" s="16">
        <f t="shared" si="9"/>
        <v>36905.64553476945</v>
      </c>
    </row>
    <row r="67" spans="1:13" ht="15">
      <c r="A67" s="17">
        <v>40</v>
      </c>
      <c r="B67" s="15">
        <f t="shared" si="1"/>
        <v>217.62394956671301</v>
      </c>
      <c r="C67" s="15">
        <f t="shared" si="2"/>
        <v>1014.9086962445663</v>
      </c>
      <c r="D67" s="15">
        <f t="shared" si="3"/>
        <v>187150.13535712243</v>
      </c>
      <c r="E67" s="16">
        <f t="shared" si="4"/>
        <v>7849.8646428775928</v>
      </c>
      <c r="F67" s="16">
        <f t="shared" si="5"/>
        <v>41451.441189573583</v>
      </c>
      <c r="G67" s="1"/>
      <c r="H67" s="17">
        <v>40</v>
      </c>
      <c r="I67" s="15">
        <f t="shared" si="6"/>
        <v>803.75252437620361</v>
      </c>
      <c r="J67" s="15">
        <f t="shared" si="0"/>
        <v>868.22206529912319</v>
      </c>
      <c r="K67" s="15">
        <f t="shared" si="7"/>
        <v>165894.88401305545</v>
      </c>
      <c r="L67" s="16">
        <f t="shared" si="8"/>
        <v>29105.115986944493</v>
      </c>
      <c r="M67" s="16">
        <f t="shared" si="9"/>
        <v>37773.867600068574</v>
      </c>
    </row>
    <row r="68" spans="1:13" ht="15">
      <c r="A68" s="17">
        <v>41</v>
      </c>
      <c r="B68" s="15">
        <f t="shared" si="1"/>
        <v>218.80274596019945</v>
      </c>
      <c r="C68" s="15">
        <f t="shared" si="2"/>
        <v>1013.7298998510798</v>
      </c>
      <c r="D68" s="15">
        <f t="shared" si="3"/>
        <v>186931.33261116224</v>
      </c>
      <c r="E68" s="16">
        <f t="shared" si="4"/>
        <v>8068.6673888377918</v>
      </c>
      <c r="F68" s="16">
        <f t="shared" si="5"/>
        <v>42465.171089424664</v>
      </c>
      <c r="G68" s="1"/>
      <c r="H68" s="17">
        <v>41</v>
      </c>
      <c r="I68" s="15">
        <f t="shared" si="6"/>
        <v>807.93873544066309</v>
      </c>
      <c r="J68" s="15">
        <f t="shared" si="0"/>
        <v>864.0358542346637</v>
      </c>
      <c r="K68" s="15">
        <f t="shared" si="7"/>
        <v>165086.94527761478</v>
      </c>
      <c r="L68" s="16">
        <f t="shared" si="8"/>
        <v>29913.054722385157</v>
      </c>
      <c r="M68" s="16">
        <f t="shared" si="9"/>
        <v>38637.903454303239</v>
      </c>
    </row>
    <row r="69" spans="1:13" ht="15">
      <c r="A69" s="17">
        <v>42</v>
      </c>
      <c r="B69" s="15">
        <f t="shared" si="1"/>
        <v>219.98792750081714</v>
      </c>
      <c r="C69" s="15">
        <f t="shared" si="2"/>
        <v>1012.5447183104621</v>
      </c>
      <c r="D69" s="15">
        <f t="shared" si="3"/>
        <v>186711.34468366142</v>
      </c>
      <c r="E69" s="16">
        <f t="shared" si="4"/>
        <v>8288.6553163386088</v>
      </c>
      <c r="F69" s="16">
        <f t="shared" si="5"/>
        <v>43477.715807735127</v>
      </c>
      <c r="G69" s="1"/>
      <c r="H69" s="17">
        <v>42</v>
      </c>
      <c r="I69" s="15">
        <f t="shared" si="6"/>
        <v>812.14674968774989</v>
      </c>
      <c r="J69" s="15">
        <f t="shared" si="0"/>
        <v>859.82783998757691</v>
      </c>
      <c r="K69" s="15">
        <f t="shared" si="7"/>
        <v>164274.79852792702</v>
      </c>
      <c r="L69" s="16">
        <f t="shared" si="8"/>
        <v>30725.201472072906</v>
      </c>
      <c r="M69" s="16">
        <f t="shared" si="9"/>
        <v>39497.731294290817</v>
      </c>
    </row>
    <row r="70" spans="1:13" ht="15">
      <c r="A70" s="17">
        <v>43</v>
      </c>
      <c r="B70" s="15">
        <f t="shared" si="1"/>
        <v>221.1795287747799</v>
      </c>
      <c r="C70" s="15">
        <f t="shared" si="2"/>
        <v>1011.3531170364994</v>
      </c>
      <c r="D70" s="15">
        <f t="shared" si="3"/>
        <v>186490.16515488664</v>
      </c>
      <c r="E70" s="16">
        <f t="shared" si="4"/>
        <v>8509.8348451133879</v>
      </c>
      <c r="F70" s="16">
        <f t="shared" si="5"/>
        <v>44489.068924771629</v>
      </c>
      <c r="G70" s="1"/>
      <c r="H70" s="17">
        <v>43</v>
      </c>
      <c r="I70" s="15">
        <f t="shared" si="6"/>
        <v>816.37668067570689</v>
      </c>
      <c r="J70" s="15">
        <f t="shared" si="0"/>
        <v>855.5979089996199</v>
      </c>
      <c r="K70" s="15">
        <f t="shared" si="7"/>
        <v>163458.4218472513</v>
      </c>
      <c r="L70" s="16">
        <f t="shared" si="8"/>
        <v>31541.578152748614</v>
      </c>
      <c r="M70" s="16">
        <f t="shared" si="9"/>
        <v>40353.329203290436</v>
      </c>
    </row>
    <row r="71" spans="1:13" ht="15">
      <c r="A71" s="17">
        <v>44</v>
      </c>
      <c r="B71" s="15">
        <f t="shared" si="1"/>
        <v>222.37758455564335</v>
      </c>
      <c r="C71" s="15">
        <f t="shared" si="2"/>
        <v>1010.1550612556359</v>
      </c>
      <c r="D71" s="15">
        <f t="shared" si="3"/>
        <v>186267.78757033098</v>
      </c>
      <c r="E71" s="16">
        <f t="shared" si="4"/>
        <v>8732.2124296690308</v>
      </c>
      <c r="F71" s="16">
        <f t="shared" si="5"/>
        <v>45499.223986027268</v>
      </c>
      <c r="G71" s="1"/>
      <c r="H71" s="17">
        <v>44</v>
      </c>
      <c r="I71" s="15">
        <f t="shared" si="6"/>
        <v>820.6286425542263</v>
      </c>
      <c r="J71" s="15">
        <f t="shared" si="0"/>
        <v>851.34594712110049</v>
      </c>
      <c r="K71" s="15">
        <f t="shared" si="7"/>
        <v>162637.79320469708</v>
      </c>
      <c r="L71" s="16">
        <f t="shared" si="8"/>
        <v>32362.206795302842</v>
      </c>
      <c r="M71" s="16">
        <f t="shared" si="9"/>
        <v>41204.675150411538</v>
      </c>
    </row>
    <row r="72" spans="1:13" ht="15">
      <c r="A72" s="17">
        <v>45</v>
      </c>
      <c r="B72" s="15">
        <f t="shared" si="1"/>
        <v>223.58212980531971</v>
      </c>
      <c r="C72" s="15">
        <f t="shared" si="2"/>
        <v>1008.9505160059596</v>
      </c>
      <c r="D72" s="15">
        <f t="shared" si="3"/>
        <v>186044.20544052566</v>
      </c>
      <c r="E72" s="16">
        <f t="shared" si="4"/>
        <v>8955.7945594743505</v>
      </c>
      <c r="F72" s="16">
        <f t="shared" si="5"/>
        <v>46508.174502033224</v>
      </c>
      <c r="G72" s="1"/>
      <c r="H72" s="17">
        <v>45</v>
      </c>
      <c r="I72" s="15">
        <f t="shared" si="6"/>
        <v>824.9027500675295</v>
      </c>
      <c r="J72" s="15">
        <f t="shared" si="0"/>
        <v>847.0718396077973</v>
      </c>
      <c r="K72" s="15">
        <f t="shared" si="7"/>
        <v>161812.89045462955</v>
      </c>
      <c r="L72" s="16">
        <f t="shared" si="8"/>
        <v>33187.109545370375</v>
      </c>
      <c r="M72" s="16">
        <f t="shared" si="9"/>
        <v>42051.746990019339</v>
      </c>
    </row>
    <row r="73" spans="1:13" ht="15">
      <c r="A73" s="17">
        <v>46</v>
      </c>
      <c r="B73" s="15">
        <f t="shared" si="1"/>
        <v>224.79319967509855</v>
      </c>
      <c r="C73" s="15">
        <f t="shared" si="2"/>
        <v>1007.7394461361807</v>
      </c>
      <c r="D73" s="15">
        <f t="shared" si="3"/>
        <v>185819.41224085056</v>
      </c>
      <c r="E73" s="16">
        <f t="shared" si="4"/>
        <v>9180.58775914945</v>
      </c>
      <c r="F73" s="16">
        <f t="shared" si="5"/>
        <v>47515.913948169407</v>
      </c>
      <c r="G73" s="1"/>
      <c r="H73" s="17">
        <v>46</v>
      </c>
      <c r="I73" s="15">
        <f t="shared" si="6"/>
        <v>829.19911855746454</v>
      </c>
      <c r="J73" s="15">
        <f t="shared" si="0"/>
        <v>842.77547111786225</v>
      </c>
      <c r="K73" s="15">
        <f t="shared" si="7"/>
        <v>160983.69133607208</v>
      </c>
      <c r="L73" s="16">
        <f t="shared" si="8"/>
        <v>34016.308663927841</v>
      </c>
      <c r="M73" s="16">
        <f t="shared" si="9"/>
        <v>42894.522461137203</v>
      </c>
    </row>
    <row r="74" spans="1:13" ht="15">
      <c r="A74" s="17">
        <v>47</v>
      </c>
      <c r="B74" s="15">
        <f t="shared" si="1"/>
        <v>226.01082950667205</v>
      </c>
      <c r="C74" s="15">
        <f t="shared" si="2"/>
        <v>1006.5218163046072</v>
      </c>
      <c r="D74" s="15">
        <f t="shared" si="3"/>
        <v>185593.40141134389</v>
      </c>
      <c r="E74" s="16">
        <f t="shared" si="4"/>
        <v>9406.5985886561211</v>
      </c>
      <c r="F74" s="16">
        <f t="shared" si="5"/>
        <v>48522.435764474016</v>
      </c>
      <c r="G74" s="1"/>
      <c r="H74" s="17">
        <v>47</v>
      </c>
      <c r="I74" s="15">
        <f t="shared" si="6"/>
        <v>833.51786396661805</v>
      </c>
      <c r="J74" s="15">
        <f t="shared" si="0"/>
        <v>838.45672570870875</v>
      </c>
      <c r="K74" s="15">
        <f t="shared" si="7"/>
        <v>160150.17347210547</v>
      </c>
      <c r="L74" s="16">
        <f t="shared" si="8"/>
        <v>34849.82652789446</v>
      </c>
      <c r="M74" s="16">
        <f t="shared" si="9"/>
        <v>43732.979186845914</v>
      </c>
    </row>
    <row r="75" spans="1:13" ht="15">
      <c r="A75" s="14" t="s">
        <v>34</v>
      </c>
      <c r="B75" s="15">
        <f t="shared" si="1"/>
        <v>227.23505483316649</v>
      </c>
      <c r="C75" s="15">
        <f t="shared" si="2"/>
        <v>1005.2975909781128</v>
      </c>
      <c r="D75" s="15">
        <f t="shared" si="3"/>
        <v>185366.16635651072</v>
      </c>
      <c r="E75" s="16">
        <f t="shared" si="4"/>
        <v>9633.8336434892881</v>
      </c>
      <c r="F75" s="16">
        <f t="shared" si="5"/>
        <v>49527.733355452132</v>
      </c>
      <c r="G75" s="1"/>
      <c r="H75" s="14" t="s">
        <v>34</v>
      </c>
      <c r="I75" s="15">
        <f t="shared" si="6"/>
        <v>837.85910284144416</v>
      </c>
      <c r="J75" s="15">
        <f t="shared" si="0"/>
        <v>834.11548683388264</v>
      </c>
      <c r="K75" s="15">
        <f t="shared" si="7"/>
        <v>159312.31436926403</v>
      </c>
      <c r="L75" s="16">
        <f t="shared" si="8"/>
        <v>35687.685630735905</v>
      </c>
      <c r="M75" s="16">
        <f t="shared" si="9"/>
        <v>44567.0946736798</v>
      </c>
    </row>
    <row r="76" spans="1:13" ht="15">
      <c r="A76" s="17">
        <v>49</v>
      </c>
      <c r="B76" s="15">
        <f t="shared" si="1"/>
        <v>228.46591138017959</v>
      </c>
      <c r="C76" s="15">
        <f t="shared" si="2"/>
        <v>1004.0667344310997</v>
      </c>
      <c r="D76" s="15">
        <f t="shared" si="3"/>
        <v>185137.70044513053</v>
      </c>
      <c r="E76" s="16">
        <f t="shared" si="4"/>
        <v>9862.2995548694671</v>
      </c>
      <c r="F76" s="16">
        <f t="shared" si="5"/>
        <v>50531.800089883232</v>
      </c>
      <c r="G76" s="1"/>
      <c r="H76" s="17">
        <v>49</v>
      </c>
      <c r="I76" s="15">
        <f t="shared" si="6"/>
        <v>842.22295233541001</v>
      </c>
      <c r="J76" s="15">
        <f t="shared" si="0"/>
        <v>829.75163733991678</v>
      </c>
      <c r="K76" s="15">
        <f t="shared" si="7"/>
        <v>158470.09141692863</v>
      </c>
      <c r="L76" s="16">
        <f t="shared" si="8"/>
        <v>36529.908583071316</v>
      </c>
      <c r="M76" s="16">
        <f t="shared" si="9"/>
        <v>45396.846311019719</v>
      </c>
    </row>
    <row r="77" spans="1:13" ht="15">
      <c r="A77" s="17">
        <v>50</v>
      </c>
      <c r="B77" s="15">
        <f t="shared" si="1"/>
        <v>229.70343506682218</v>
      </c>
      <c r="C77" s="15">
        <f t="shared" si="2"/>
        <v>1002.8292107444571</v>
      </c>
      <c r="D77" s="15">
        <f t="shared" si="3"/>
        <v>184907.9970100637</v>
      </c>
      <c r="E77" s="16">
        <f t="shared" si="4"/>
        <v>10092.002989936289</v>
      </c>
      <c r="F77" s="16">
        <f t="shared" si="5"/>
        <v>51534.62930062769</v>
      </c>
      <c r="G77" s="1"/>
      <c r="H77" s="17">
        <v>50</v>
      </c>
      <c r="I77" s="15">
        <f t="shared" si="6"/>
        <v>846.60953021215687</v>
      </c>
      <c r="J77" s="15">
        <f t="shared" si="0"/>
        <v>825.36505946316993</v>
      </c>
      <c r="K77" s="15">
        <f t="shared" si="7"/>
        <v>157623.48188671647</v>
      </c>
      <c r="L77" s="16">
        <f t="shared" si="8"/>
        <v>37376.51811328347</v>
      </c>
      <c r="M77" s="16">
        <f t="shared" si="9"/>
        <v>46222.211370482888</v>
      </c>
    </row>
    <row r="78" spans="1:13" ht="15">
      <c r="A78" s="17">
        <v>51</v>
      </c>
      <c r="B78" s="15">
        <f t="shared" si="1"/>
        <v>230.94766200676759</v>
      </c>
      <c r="C78" s="15">
        <f t="shared" si="2"/>
        <v>1001.5849838045117</v>
      </c>
      <c r="D78" s="15">
        <f t="shared" si="3"/>
        <v>184677.04934805693</v>
      </c>
      <c r="E78" s="16">
        <f t="shared" si="4"/>
        <v>10322.950651943056</v>
      </c>
      <c r="F78" s="16">
        <f t="shared" si="5"/>
        <v>52536.214284432201</v>
      </c>
      <c r="G78" s="1"/>
      <c r="H78" s="17">
        <v>51</v>
      </c>
      <c r="I78" s="15">
        <f t="shared" si="6"/>
        <v>851.0189548486785</v>
      </c>
      <c r="J78" s="15">
        <f t="shared" si="0"/>
        <v>820.95563482664829</v>
      </c>
      <c r="K78" s="15">
        <f t="shared" si="7"/>
        <v>156772.46293186781</v>
      </c>
      <c r="L78" s="16">
        <f t="shared" si="8"/>
        <v>38227.537068132151</v>
      </c>
      <c r="M78" s="16">
        <f t="shared" si="9"/>
        <v>47043.167005309537</v>
      </c>
    </row>
    <row r="79" spans="1:13" ht="15">
      <c r="A79" s="17">
        <v>52</v>
      </c>
      <c r="B79" s="15">
        <f t="shared" si="1"/>
        <v>232.19862850930417</v>
      </c>
      <c r="C79" s="15">
        <f t="shared" si="2"/>
        <v>1000.3340173019751</v>
      </c>
      <c r="D79" s="15">
        <f t="shared" si="3"/>
        <v>184444.85071954763</v>
      </c>
      <c r="E79" s="16">
        <f t="shared" si="4"/>
        <v>10555.14928045236</v>
      </c>
      <c r="F79" s="16">
        <f t="shared" si="5"/>
        <v>53536.548301734176</v>
      </c>
      <c r="G79" s="1"/>
      <c r="H79" s="17">
        <v>52</v>
      </c>
      <c r="I79" s="15">
        <f t="shared" si="6"/>
        <v>855.45134523851539</v>
      </c>
      <c r="J79" s="15">
        <f t="shared" si="0"/>
        <v>816.52324443681141</v>
      </c>
      <c r="K79" s="15">
        <f t="shared" si="7"/>
        <v>155917.01158662929</v>
      </c>
      <c r="L79" s="16">
        <f t="shared" si="8"/>
        <v>39082.988413370666</v>
      </c>
      <c r="M79" s="16">
        <f t="shared" si="9"/>
        <v>47859.690249746345</v>
      </c>
    </row>
    <row r="80" spans="1:13" ht="15">
      <c r="A80" s="17">
        <v>53</v>
      </c>
      <c r="B80" s="15">
        <f t="shared" si="1"/>
        <v>233.45637108039625</v>
      </c>
      <c r="C80" s="15">
        <f t="shared" si="2"/>
        <v>999.07627473088303</v>
      </c>
      <c r="D80" s="15">
        <f t="shared" si="3"/>
        <v>184211.39434846723</v>
      </c>
      <c r="E80" s="16">
        <f t="shared" si="4"/>
        <v>10788.605651532756</v>
      </c>
      <c r="F80" s="16">
        <f t="shared" si="5"/>
        <v>54535.624576465059</v>
      </c>
      <c r="G80" s="1"/>
      <c r="H80" s="17">
        <v>53</v>
      </c>
      <c r="I80" s="15">
        <f t="shared" si="6"/>
        <v>859.90682099496598</v>
      </c>
      <c r="J80" s="15">
        <f t="shared" si="0"/>
        <v>812.06776868036081</v>
      </c>
      <c r="K80" s="15">
        <f t="shared" si="7"/>
        <v>155057.10476563431</v>
      </c>
      <c r="L80" s="16">
        <f t="shared" si="8"/>
        <v>39942.895234365635</v>
      </c>
      <c r="M80" s="16">
        <f t="shared" si="9"/>
        <v>48671.758018426706</v>
      </c>
    </row>
    <row r="81" spans="1:13" ht="15">
      <c r="A81" s="17">
        <v>54</v>
      </c>
      <c r="B81" s="15">
        <f t="shared" si="1"/>
        <v>234.72092642374844</v>
      </c>
      <c r="C81" s="15">
        <f t="shared" si="2"/>
        <v>997.81171938753084</v>
      </c>
      <c r="D81" s="15">
        <f t="shared" si="3"/>
        <v>183976.67342204347</v>
      </c>
      <c r="E81" s="16">
        <f t="shared" si="4"/>
        <v>11023.326577956504</v>
      </c>
      <c r="F81" s="16">
        <f t="shared" si="5"/>
        <v>55533.436295852589</v>
      </c>
      <c r="G81" s="1"/>
      <c r="H81" s="17">
        <v>54</v>
      </c>
      <c r="I81" s="15">
        <f t="shared" si="6"/>
        <v>864.38550235431478</v>
      </c>
      <c r="J81" s="15">
        <f t="shared" si="0"/>
        <v>807.58908732101202</v>
      </c>
      <c r="K81" s="15">
        <f t="shared" si="7"/>
        <v>154192.71926327999</v>
      </c>
      <c r="L81" s="16">
        <f t="shared" si="8"/>
        <v>40807.280736719949</v>
      </c>
      <c r="M81" s="16">
        <f t="shared" si="9"/>
        <v>49479.347105747722</v>
      </c>
    </row>
    <row r="82" spans="1:13" ht="15">
      <c r="A82" s="17">
        <v>55</v>
      </c>
      <c r="B82" s="15">
        <f t="shared" si="1"/>
        <v>235.99233144187713</v>
      </c>
      <c r="C82" s="15">
        <f t="shared" si="2"/>
        <v>996.54031436940215</v>
      </c>
      <c r="D82" s="15">
        <f t="shared" si="3"/>
        <v>183740.6810906016</v>
      </c>
      <c r="E82" s="16">
        <f t="shared" si="4"/>
        <v>11259.318909398382</v>
      </c>
      <c r="F82" s="16">
        <f t="shared" si="5"/>
        <v>56529.976610221995</v>
      </c>
      <c r="G82" s="1"/>
      <c r="H82" s="17">
        <v>55</v>
      </c>
      <c r="I82" s="15">
        <f t="shared" si="6"/>
        <v>868.88751017907691</v>
      </c>
      <c r="J82" s="15">
        <f t="shared" si="0"/>
        <v>803.08707949624988</v>
      </c>
      <c r="K82" s="15">
        <f t="shared" si="7"/>
        <v>153323.83175310091</v>
      </c>
      <c r="L82" s="16">
        <f t="shared" si="8"/>
        <v>41676.168246899026</v>
      </c>
      <c r="M82" s="16">
        <f t="shared" si="9"/>
        <v>50282.434185243968</v>
      </c>
    </row>
    <row r="83" spans="1:13" ht="15">
      <c r="A83" s="17">
        <v>56</v>
      </c>
      <c r="B83" s="15">
        <f t="shared" si="1"/>
        <v>237.27062323718724</v>
      </c>
      <c r="C83" s="15">
        <f t="shared" si="2"/>
        <v>995.26202257409204</v>
      </c>
      <c r="D83" s="15">
        <f t="shared" si="3"/>
        <v>183503.41046736442</v>
      </c>
      <c r="E83" s="16">
        <f t="shared" si="4"/>
        <v>11496.589532635569</v>
      </c>
      <c r="F83" s="16">
        <f t="shared" si="5"/>
        <v>57525.238632796085</v>
      </c>
      <c r="G83" s="1"/>
      <c r="H83" s="17">
        <v>56</v>
      </c>
      <c r="I83" s="15">
        <f t="shared" si="6"/>
        <v>873.4129659612596</v>
      </c>
      <c r="J83" s="15">
        <f t="shared" si="0"/>
        <v>798.5616237140672</v>
      </c>
      <c r="K83" s="15">
        <f t="shared" si="7"/>
        <v>152450.41878713964</v>
      </c>
      <c r="L83" s="16">
        <f t="shared" si="8"/>
        <v>42549.581212860285</v>
      </c>
      <c r="M83" s="16">
        <f t="shared" si="9"/>
        <v>51080.995808958032</v>
      </c>
    </row>
    <row r="84" spans="1:13" ht="15">
      <c r="A84" s="17">
        <v>57</v>
      </c>
      <c r="B84" s="15">
        <f t="shared" si="1"/>
        <v>238.5558391130553</v>
      </c>
      <c r="C84" s="15">
        <f t="shared" si="2"/>
        <v>993.97680669822398</v>
      </c>
      <c r="D84" s="15">
        <f t="shared" si="3"/>
        <v>183264.85462825137</v>
      </c>
      <c r="E84" s="16">
        <f t="shared" si="4"/>
        <v>11735.145371748626</v>
      </c>
      <c r="F84" s="16">
        <f t="shared" si="5"/>
        <v>58519.215439494306</v>
      </c>
      <c r="G84" s="1"/>
      <c r="H84" s="17">
        <v>57</v>
      </c>
      <c r="I84" s="15">
        <f t="shared" si="6"/>
        <v>877.96199182564123</v>
      </c>
      <c r="J84" s="15">
        <f t="shared" si="0"/>
        <v>794.01259784968556</v>
      </c>
      <c r="K84" s="15">
        <f t="shared" si="7"/>
        <v>151572.45679531401</v>
      </c>
      <c r="L84" s="16">
        <f t="shared" si="8"/>
        <v>43427.543204685928</v>
      </c>
      <c r="M84" s="16">
        <f t="shared" si="9"/>
        <v>51875.008406807719</v>
      </c>
    </row>
    <row r="85" spans="1:13" ht="15">
      <c r="A85" s="17">
        <v>58</v>
      </c>
      <c r="B85" s="15">
        <f t="shared" si="1"/>
        <v>239.84801657491766</v>
      </c>
      <c r="C85" s="15">
        <f t="shared" si="2"/>
        <v>992.68462923636162</v>
      </c>
      <c r="D85" s="15">
        <f t="shared" si="3"/>
        <v>183025.00661167645</v>
      </c>
      <c r="E85" s="16">
        <f t="shared" si="4"/>
        <v>11974.993388323543</v>
      </c>
      <c r="F85" s="16">
        <f t="shared" si="5"/>
        <v>59511.900068730669</v>
      </c>
      <c r="G85" s="1"/>
      <c r="H85" s="17">
        <v>58</v>
      </c>
      <c r="I85" s="15">
        <f t="shared" si="6"/>
        <v>882.53471053306635</v>
      </c>
      <c r="J85" s="15">
        <f t="shared" si="0"/>
        <v>789.43987914226045</v>
      </c>
      <c r="K85" s="15">
        <f t="shared" si="7"/>
        <v>150689.92208478093</v>
      </c>
      <c r="L85" s="16">
        <f t="shared" si="8"/>
        <v>44310.077915218993</v>
      </c>
      <c r="M85" s="16">
        <f t="shared" si="9"/>
        <v>52664.448285949977</v>
      </c>
    </row>
    <row r="86" spans="1:13" ht="15">
      <c r="A86" s="17">
        <v>59</v>
      </c>
      <c r="B86" s="15">
        <f t="shared" si="1"/>
        <v>241.14719333136509</v>
      </c>
      <c r="C86" s="15">
        <f t="shared" si="2"/>
        <v>991.38545247991419</v>
      </c>
      <c r="D86" s="15">
        <f t="shared" si="3"/>
        <v>182783.85941834509</v>
      </c>
      <c r="E86" s="16">
        <f t="shared" si="4"/>
        <v>12216.140581654909</v>
      </c>
      <c r="F86" s="16">
        <f t="shared" si="5"/>
        <v>60503.285521210586</v>
      </c>
      <c r="G86" s="1"/>
      <c r="H86" s="17">
        <v>59</v>
      </c>
      <c r="I86" s="15">
        <f t="shared" si="6"/>
        <v>887.13124548375947</v>
      </c>
      <c r="J86" s="15">
        <f t="shared" si="0"/>
        <v>784.84334419156733</v>
      </c>
      <c r="K86" s="15">
        <f t="shared" si="7"/>
        <v>149802.79083929717</v>
      </c>
      <c r="L86" s="16">
        <f t="shared" si="8"/>
        <v>45197.209160702754</v>
      </c>
      <c r="M86" s="16">
        <f t="shared" si="9"/>
        <v>53449.291630141546</v>
      </c>
    </row>
    <row r="87" spans="1:13" ht="15">
      <c r="A87" s="14" t="s">
        <v>35</v>
      </c>
      <c r="B87" s="15">
        <f t="shared" si="1"/>
        <v>242.45340729524332</v>
      </c>
      <c r="C87" s="15">
        <f t="shared" si="2"/>
        <v>990.07923851603596</v>
      </c>
      <c r="D87" s="15">
        <f t="shared" si="3"/>
        <v>182541.40601104984</v>
      </c>
      <c r="E87" s="16">
        <f t="shared" si="4"/>
        <v>12458.593988950151</v>
      </c>
      <c r="F87" s="16">
        <f t="shared" si="5"/>
        <v>61493.364759726624</v>
      </c>
      <c r="G87" s="1"/>
      <c r="H87" s="14" t="s">
        <v>35</v>
      </c>
      <c r="I87" s="15">
        <f t="shared" si="6"/>
        <v>891.75172072065402</v>
      </c>
      <c r="J87" s="15">
        <f t="shared" si="0"/>
        <v>780.22286895467278</v>
      </c>
      <c r="K87" s="15">
        <f t="shared" si="7"/>
        <v>148911.03911857653</v>
      </c>
      <c r="L87" s="16">
        <f t="shared" si="8"/>
        <v>46088.960881423409</v>
      </c>
      <c r="M87" s="16">
        <f t="shared" si="9"/>
        <v>54229.514499096222</v>
      </c>
    </row>
    <row r="88" spans="1:13" ht="15">
      <c r="A88" s="17">
        <v>61</v>
      </c>
      <c r="B88" s="15">
        <f t="shared" si="1"/>
        <v>243.7666965847593</v>
      </c>
      <c r="C88" s="15">
        <f t="shared" si="2"/>
        <v>988.76594922651998</v>
      </c>
      <c r="D88" s="15">
        <f t="shared" si="3"/>
        <v>182297.63931446508</v>
      </c>
      <c r="E88" s="16">
        <f t="shared" si="4"/>
        <v>12702.36068553491</v>
      </c>
      <c r="F88" s="16">
        <f t="shared" si="5"/>
        <v>62482.130708953147</v>
      </c>
      <c r="G88" s="1"/>
      <c r="H88" s="17">
        <v>61</v>
      </c>
      <c r="I88" s="15">
        <f t="shared" si="6"/>
        <v>896.39626093274069</v>
      </c>
      <c r="J88" s="15">
        <f t="shared" si="0"/>
        <v>775.57832874258611</v>
      </c>
      <c r="K88" s="15">
        <f t="shared" si="7"/>
        <v>148014.6428576438</v>
      </c>
      <c r="L88" s="16">
        <f t="shared" si="8"/>
        <v>46985.357142356152</v>
      </c>
      <c r="M88" s="16">
        <f t="shared" si="9"/>
        <v>55005.092827838809</v>
      </c>
    </row>
    <row r="89" spans="1:13" ht="15">
      <c r="A89" s="17">
        <v>62</v>
      </c>
      <c r="B89" s="15">
        <f t="shared" si="1"/>
        <v>245.08709952459344</v>
      </c>
      <c r="C89" s="15">
        <f t="shared" si="2"/>
        <v>987.44554628668584</v>
      </c>
      <c r="D89" s="15">
        <f t="shared" si="3"/>
        <v>182052.55221494049</v>
      </c>
      <c r="E89" s="16">
        <f t="shared" si="4"/>
        <v>12947.447785059503</v>
      </c>
      <c r="F89" s="16">
        <f t="shared" si="5"/>
        <v>63469.57625523983</v>
      </c>
      <c r="G89" s="1"/>
      <c r="H89" s="17">
        <v>62</v>
      </c>
      <c r="I89" s="15">
        <f t="shared" si="6"/>
        <v>901.06499145843202</v>
      </c>
      <c r="J89" s="15">
        <f t="shared" si="0"/>
        <v>770.90959821689478</v>
      </c>
      <c r="K89" s="15">
        <f t="shared" si="7"/>
        <v>147113.57786618537</v>
      </c>
      <c r="L89" s="16">
        <f t="shared" si="8"/>
        <v>47886.422133814587</v>
      </c>
      <c r="M89" s="16">
        <f t="shared" si="9"/>
        <v>55776.002426055704</v>
      </c>
    </row>
    <row r="90" spans="1:13" ht="15">
      <c r="A90" s="17">
        <v>63</v>
      </c>
      <c r="B90" s="15">
        <f t="shared" si="1"/>
        <v>246.41465464701832</v>
      </c>
      <c r="C90" s="15">
        <f t="shared" si="2"/>
        <v>986.11799116426096</v>
      </c>
      <c r="D90" s="15">
        <f t="shared" si="3"/>
        <v>181806.13756029346</v>
      </c>
      <c r="E90" s="16">
        <f t="shared" si="4"/>
        <v>13193.862439706521</v>
      </c>
      <c r="F90" s="16">
        <f t="shared" si="5"/>
        <v>64455.694246404091</v>
      </c>
      <c r="G90" s="1"/>
      <c r="H90" s="17">
        <v>63</v>
      </c>
      <c r="I90" s="15">
        <f t="shared" si="6"/>
        <v>905.7580382889447</v>
      </c>
      <c r="J90" s="15">
        <f t="shared" si="0"/>
        <v>766.21655138638209</v>
      </c>
      <c r="K90" s="15">
        <f t="shared" si="7"/>
        <v>146207.81982789643</v>
      </c>
      <c r="L90" s="16">
        <f t="shared" si="8"/>
        <v>48792.18017210353</v>
      </c>
      <c r="M90" s="16">
        <f t="shared" si="9"/>
        <v>56542.218977442084</v>
      </c>
    </row>
    <row r="91" spans="1:13" ht="15">
      <c r="A91" s="17">
        <v>64</v>
      </c>
      <c r="B91" s="15">
        <f t="shared" si="1"/>
        <v>247.74940069302306</v>
      </c>
      <c r="C91" s="15">
        <f t="shared" si="2"/>
        <v>984.78324511825622</v>
      </c>
      <c r="D91" s="15">
        <f t="shared" si="3"/>
        <v>181558.38815960044</v>
      </c>
      <c r="E91" s="16">
        <f t="shared" si="4"/>
        <v>13441.611840399544</v>
      </c>
      <c r="F91" s="16">
        <f t="shared" si="5"/>
        <v>65440.477491522346</v>
      </c>
      <c r="G91" s="1"/>
      <c r="H91" s="17">
        <v>64</v>
      </c>
      <c r="I91" s="15">
        <f t="shared" si="6"/>
        <v>910.47552807169961</v>
      </c>
      <c r="J91" s="15">
        <f t="shared" si="0"/>
        <v>761.49906160362718</v>
      </c>
      <c r="K91" s="15">
        <f t="shared" si="7"/>
        <v>145297.34429982473</v>
      </c>
      <c r="L91" s="16">
        <f t="shared" si="8"/>
        <v>49702.65570017523</v>
      </c>
      <c r="M91" s="16">
        <f t="shared" si="9"/>
        <v>57303.718039045714</v>
      </c>
    </row>
    <row r="92" spans="1:13" ht="15">
      <c r="A92" s="17">
        <v>65</v>
      </c>
      <c r="B92" s="15">
        <f t="shared" si="1"/>
        <v>249.09137661344357</v>
      </c>
      <c r="C92" s="15">
        <f t="shared" si="2"/>
        <v>983.44126919783571</v>
      </c>
      <c r="D92" s="15">
        <f t="shared" si="3"/>
        <v>181309.29678298699</v>
      </c>
      <c r="E92" s="16">
        <f t="shared" si="4"/>
        <v>13690.703217012988</v>
      </c>
      <c r="F92" s="16">
        <f t="shared" si="5"/>
        <v>66423.918760720175</v>
      </c>
      <c r="G92" s="1"/>
      <c r="H92" s="17">
        <v>65</v>
      </c>
      <c r="I92" s="15">
        <f t="shared" si="6"/>
        <v>915.21758811373968</v>
      </c>
      <c r="J92" s="15">
        <f t="shared" si="0"/>
        <v>756.75700156158712</v>
      </c>
      <c r="K92" s="15">
        <f t="shared" si="7"/>
        <v>144382.126711711</v>
      </c>
      <c r="L92" s="16">
        <f t="shared" si="8"/>
        <v>50617.873288288967</v>
      </c>
      <c r="M92" s="16">
        <f t="shared" si="9"/>
        <v>58060.4750406073</v>
      </c>
    </row>
    <row r="93" spans="1:13" ht="15">
      <c r="A93" s="17">
        <v>66</v>
      </c>
      <c r="B93" s="15">
        <f t="shared" si="1"/>
        <v>250.44062157009978</v>
      </c>
      <c r="C93" s="15">
        <f t="shared" si="2"/>
        <v>982.0920242411795</v>
      </c>
      <c r="D93" s="15">
        <f t="shared" si="3"/>
        <v>181058.85616141689</v>
      </c>
      <c r="E93" s="16">
        <f t="shared" si="4"/>
        <v>13941.143838583088</v>
      </c>
      <c r="F93" s="16">
        <f t="shared" si="5"/>
        <v>67406.010784961356</v>
      </c>
      <c r="G93" s="1"/>
      <c r="H93" s="17">
        <v>66</v>
      </c>
      <c r="I93" s="15">
        <f t="shared" si="6"/>
        <v>919.9843463851654</v>
      </c>
      <c r="J93" s="15">
        <f t="shared" ref="J93:J156" si="10">SUM(K92*(RATE2/12))</f>
        <v>751.9902432901614</v>
      </c>
      <c r="K93" s="15">
        <f t="shared" si="7"/>
        <v>143462.14236532582</v>
      </c>
      <c r="L93" s="16">
        <f t="shared" si="8"/>
        <v>51537.857634674132</v>
      </c>
      <c r="M93" s="16">
        <f t="shared" si="9"/>
        <v>58812.465283897458</v>
      </c>
    </row>
    <row r="94" spans="1:13" ht="15">
      <c r="A94" s="17">
        <v>67</v>
      </c>
      <c r="B94" s="15">
        <f t="shared" ref="B94:B157" si="11">IF(D93&lt;=0,0,SUM($B$12-C94))</f>
        <v>251.79717493693772</v>
      </c>
      <c r="C94" s="15">
        <f t="shared" ref="C94:C157" si="12">SUM(D93*(RATE/12))</f>
        <v>980.73547087434156</v>
      </c>
      <c r="D94" s="15">
        <f t="shared" ref="D94:D157" si="13">IF(SUM(D93-B94-$B$14)&lt;=0,0,SUM(D93-B94-$B$14))</f>
        <v>180807.05898647994</v>
      </c>
      <c r="E94" s="16">
        <f t="shared" ref="E94:E157" si="14">IF($D93&lt;=0,0,SUM(B94,E93,$B$15))</f>
        <v>14192.941013520025</v>
      </c>
      <c r="F94" s="16">
        <f t="shared" ref="F94:F157" si="15">IF($D93&lt;=0,0,SUM(C94,F93))</f>
        <v>68386.746255835693</v>
      </c>
      <c r="G94" s="1"/>
      <c r="H94" s="17">
        <v>67</v>
      </c>
      <c r="I94" s="15">
        <f t="shared" ref="I94:I157" si="16">IF(K93&lt;=0,0,SUM($E$12-J94))</f>
        <v>924.77593152258817</v>
      </c>
      <c r="J94" s="15">
        <f t="shared" si="10"/>
        <v>747.19865815273863</v>
      </c>
      <c r="K94" s="15">
        <f t="shared" ref="K94:K157" si="17">IF(SUM(K93-I94-$E$14)&lt;=0,0,SUM(K93-I94-$E$14))</f>
        <v>142537.36643380322</v>
      </c>
      <c r="L94" s="16">
        <f t="shared" ref="L94:L157" si="18">IF($K93&lt;=0,0,SUM(I94,L93,$E$14))</f>
        <v>52462.633566196717</v>
      </c>
      <c r="M94" s="16">
        <f t="shared" ref="M94:M157" si="19">IF($K93&lt;=0,0,SUM(J94,M93))</f>
        <v>59559.663942050196</v>
      </c>
    </row>
    <row r="95" spans="1:13" ht="15">
      <c r="A95" s="17">
        <v>68</v>
      </c>
      <c r="B95" s="15">
        <f t="shared" si="11"/>
        <v>253.16107630117961</v>
      </c>
      <c r="C95" s="15">
        <f t="shared" si="12"/>
        <v>979.37156951009968</v>
      </c>
      <c r="D95" s="15">
        <f t="shared" si="13"/>
        <v>180553.89791017876</v>
      </c>
      <c r="E95" s="16">
        <f t="shared" si="14"/>
        <v>14446.102089821205</v>
      </c>
      <c r="F95" s="16">
        <f t="shared" si="15"/>
        <v>69366.117825345791</v>
      </c>
      <c r="G95" s="1"/>
      <c r="H95" s="17">
        <v>68</v>
      </c>
      <c r="I95" s="15">
        <f t="shared" si="16"/>
        <v>929.59247283260174</v>
      </c>
      <c r="J95" s="15">
        <f t="shared" si="10"/>
        <v>742.38211684272505</v>
      </c>
      <c r="K95" s="15">
        <f t="shared" si="17"/>
        <v>141607.77396097063</v>
      </c>
      <c r="L95" s="16">
        <f t="shared" si="18"/>
        <v>53392.226039029316</v>
      </c>
      <c r="M95" s="16">
        <f t="shared" si="19"/>
        <v>60302.04605889292</v>
      </c>
    </row>
    <row r="96" spans="1:13" ht="15">
      <c r="A96" s="17">
        <v>69</v>
      </c>
      <c r="B96" s="15">
        <f t="shared" si="11"/>
        <v>254.53236546447761</v>
      </c>
      <c r="C96" s="15">
        <f t="shared" si="12"/>
        <v>978.00028034680167</v>
      </c>
      <c r="D96" s="15">
        <f t="shared" si="13"/>
        <v>180299.36554471427</v>
      </c>
      <c r="E96" s="16">
        <f t="shared" si="14"/>
        <v>14700.634455285683</v>
      </c>
      <c r="F96" s="16">
        <f t="shared" si="15"/>
        <v>70344.1181056926</v>
      </c>
      <c r="G96" s="1"/>
      <c r="H96" s="17">
        <v>69</v>
      </c>
      <c r="I96" s="15">
        <f t="shared" si="16"/>
        <v>934.43410029527149</v>
      </c>
      <c r="J96" s="15">
        <f t="shared" si="10"/>
        <v>737.54048938005531</v>
      </c>
      <c r="K96" s="15">
        <f t="shared" si="17"/>
        <v>140673.33986067536</v>
      </c>
      <c r="L96" s="16">
        <f t="shared" si="18"/>
        <v>54326.660139324587</v>
      </c>
      <c r="M96" s="16">
        <f t="shared" si="19"/>
        <v>61039.586548272979</v>
      </c>
    </row>
    <row r="97" spans="1:13" ht="15">
      <c r="A97" s="17">
        <v>70</v>
      </c>
      <c r="B97" s="15">
        <f t="shared" si="11"/>
        <v>255.91108244407701</v>
      </c>
      <c r="C97" s="15">
        <f t="shared" si="12"/>
        <v>976.62156336720227</v>
      </c>
      <c r="D97" s="15">
        <f t="shared" si="13"/>
        <v>180043.45446227019</v>
      </c>
      <c r="E97" s="16">
        <f t="shared" si="14"/>
        <v>14956.54553772976</v>
      </c>
      <c r="F97" s="16">
        <f t="shared" si="15"/>
        <v>71320.739669059796</v>
      </c>
      <c r="G97" s="1"/>
      <c r="H97" s="17">
        <v>70</v>
      </c>
      <c r="I97" s="15">
        <f t="shared" si="16"/>
        <v>939.30094456764266</v>
      </c>
      <c r="J97" s="15">
        <f t="shared" si="10"/>
        <v>732.67364510768414</v>
      </c>
      <c r="K97" s="15">
        <f t="shared" si="17"/>
        <v>139734.03891610773</v>
      </c>
      <c r="L97" s="16">
        <f t="shared" si="18"/>
        <v>55265.961083892231</v>
      </c>
      <c r="M97" s="16">
        <f t="shared" si="19"/>
        <v>61772.260193380665</v>
      </c>
    </row>
    <row r="98" spans="1:13" ht="15">
      <c r="A98" s="17">
        <v>71</v>
      </c>
      <c r="B98" s="15">
        <f t="shared" si="11"/>
        <v>257.2972674739824</v>
      </c>
      <c r="C98" s="15">
        <f t="shared" si="12"/>
        <v>975.23537833729688</v>
      </c>
      <c r="D98" s="15">
        <f t="shared" si="13"/>
        <v>179786.15719479622</v>
      </c>
      <c r="E98" s="16">
        <f t="shared" si="14"/>
        <v>15213.842805203743</v>
      </c>
      <c r="F98" s="16">
        <f t="shared" si="15"/>
        <v>72295.975047397093</v>
      </c>
      <c r="G98" s="1"/>
      <c r="H98" s="17">
        <v>71</v>
      </c>
      <c r="I98" s="15">
        <f t="shared" si="16"/>
        <v>944.19313698726569</v>
      </c>
      <c r="J98" s="15">
        <f t="shared" si="10"/>
        <v>727.78145268806111</v>
      </c>
      <c r="K98" s="15">
        <f t="shared" si="17"/>
        <v>138789.84577912046</v>
      </c>
      <c r="L98" s="16">
        <f t="shared" si="18"/>
        <v>56210.1542208795</v>
      </c>
      <c r="M98" s="16">
        <f t="shared" si="19"/>
        <v>62500.041646068727</v>
      </c>
    </row>
    <row r="99" spans="1:13" ht="15">
      <c r="A99" s="14" t="s">
        <v>36</v>
      </c>
      <c r="B99" s="15">
        <f t="shared" si="11"/>
        <v>258.69096100613308</v>
      </c>
      <c r="C99" s="15">
        <f t="shared" si="12"/>
        <v>973.8416848051462</v>
      </c>
      <c r="D99" s="15">
        <f t="shared" si="13"/>
        <v>179527.4662337901</v>
      </c>
      <c r="E99" s="16">
        <f t="shared" si="14"/>
        <v>15472.533766209877</v>
      </c>
      <c r="F99" s="16">
        <f t="shared" si="15"/>
        <v>73269.816732202235</v>
      </c>
      <c r="G99" s="1"/>
      <c r="H99" s="14" t="s">
        <v>36</v>
      </c>
      <c r="I99" s="15">
        <f t="shared" si="16"/>
        <v>949.11080957574109</v>
      </c>
      <c r="J99" s="15">
        <f t="shared" si="10"/>
        <v>722.86378009958571</v>
      </c>
      <c r="K99" s="15">
        <f t="shared" si="17"/>
        <v>137840.73496954472</v>
      </c>
      <c r="L99" s="16">
        <f t="shared" si="18"/>
        <v>57159.265030455244</v>
      </c>
      <c r="M99" s="16">
        <f t="shared" si="19"/>
        <v>63222.905426168312</v>
      </c>
    </row>
    <row r="100" spans="1:13" ht="15">
      <c r="A100" s="17">
        <v>73</v>
      </c>
      <c r="B100" s="15">
        <f t="shared" si="11"/>
        <v>260.0922037115829</v>
      </c>
      <c r="C100" s="15">
        <f t="shared" si="12"/>
        <v>972.44044209969638</v>
      </c>
      <c r="D100" s="15">
        <f t="shared" si="13"/>
        <v>179267.3740300785</v>
      </c>
      <c r="E100" s="16">
        <f t="shared" si="14"/>
        <v>15732.625969921461</v>
      </c>
      <c r="F100" s="16">
        <f t="shared" si="15"/>
        <v>74242.257174301936</v>
      </c>
      <c r="G100" s="1"/>
      <c r="H100" s="17">
        <v>73</v>
      </c>
      <c r="I100" s="15">
        <f t="shared" si="16"/>
        <v>954.05409504228146</v>
      </c>
      <c r="J100" s="15">
        <f t="shared" si="10"/>
        <v>717.92049463304534</v>
      </c>
      <c r="K100" s="15">
        <f t="shared" si="17"/>
        <v>136886.68087450243</v>
      </c>
      <c r="L100" s="16">
        <f t="shared" si="18"/>
        <v>58113.319125497525</v>
      </c>
      <c r="M100" s="16">
        <f t="shared" si="19"/>
        <v>63940.825920801355</v>
      </c>
    </row>
    <row r="101" spans="1:13" ht="15">
      <c r="A101" s="17">
        <v>74</v>
      </c>
      <c r="B101" s="15">
        <f t="shared" si="11"/>
        <v>261.50103648168738</v>
      </c>
      <c r="C101" s="15">
        <f t="shared" si="12"/>
        <v>971.0316093295919</v>
      </c>
      <c r="D101" s="15">
        <f t="shared" si="13"/>
        <v>179005.8729935968</v>
      </c>
      <c r="E101" s="16">
        <f t="shared" si="14"/>
        <v>15994.127006403149</v>
      </c>
      <c r="F101" s="16">
        <f t="shared" si="15"/>
        <v>75213.288783631535</v>
      </c>
      <c r="G101" s="1"/>
      <c r="H101" s="17">
        <v>74</v>
      </c>
      <c r="I101" s="15">
        <f t="shared" si="16"/>
        <v>959.02312678729334</v>
      </c>
      <c r="J101" s="15">
        <f t="shared" si="10"/>
        <v>712.95146288803346</v>
      </c>
      <c r="K101" s="15">
        <f t="shared" si="17"/>
        <v>135927.65774771513</v>
      </c>
      <c r="L101" s="16">
        <f t="shared" si="18"/>
        <v>59072.34225228482</v>
      </c>
      <c r="M101" s="16">
        <f t="shared" si="19"/>
        <v>64653.77738368939</v>
      </c>
    </row>
    <row r="102" spans="1:13" ht="15">
      <c r="A102" s="17">
        <v>75</v>
      </c>
      <c r="B102" s="15">
        <f t="shared" si="11"/>
        <v>262.91750042929652</v>
      </c>
      <c r="C102" s="15">
        <f t="shared" si="12"/>
        <v>969.61514538198276</v>
      </c>
      <c r="D102" s="15">
        <f t="shared" si="13"/>
        <v>178742.95549316751</v>
      </c>
      <c r="E102" s="16">
        <f t="shared" si="14"/>
        <v>16257.044506832444</v>
      </c>
      <c r="F102" s="16">
        <f t="shared" si="15"/>
        <v>76182.903929013512</v>
      </c>
      <c r="G102" s="1"/>
      <c r="H102" s="17">
        <v>75</v>
      </c>
      <c r="I102" s="15">
        <f t="shared" si="16"/>
        <v>964.01803890597716</v>
      </c>
      <c r="J102" s="15">
        <f t="shared" si="10"/>
        <v>707.95655076934963</v>
      </c>
      <c r="K102" s="15">
        <f t="shared" si="17"/>
        <v>134963.63970880915</v>
      </c>
      <c r="L102" s="16">
        <f t="shared" si="18"/>
        <v>60036.360291190795</v>
      </c>
      <c r="M102" s="16">
        <f t="shared" si="19"/>
        <v>65361.733934458738</v>
      </c>
    </row>
    <row r="103" spans="1:13" ht="15">
      <c r="A103" s="17">
        <v>76</v>
      </c>
      <c r="B103" s="15">
        <f t="shared" si="11"/>
        <v>264.34163688995523</v>
      </c>
      <c r="C103" s="15">
        <f t="shared" si="12"/>
        <v>968.19100892132406</v>
      </c>
      <c r="D103" s="15">
        <f t="shared" si="13"/>
        <v>178478.61385627754</v>
      </c>
      <c r="E103" s="16">
        <f t="shared" si="14"/>
        <v>16521.3861437224</v>
      </c>
      <c r="F103" s="16">
        <f t="shared" si="15"/>
        <v>77151.094937934831</v>
      </c>
      <c r="G103" s="1"/>
      <c r="H103" s="17">
        <v>76</v>
      </c>
      <c r="I103" s="15">
        <f t="shared" si="16"/>
        <v>969.03896619194586</v>
      </c>
      <c r="J103" s="15">
        <f t="shared" si="10"/>
        <v>702.93562348338094</v>
      </c>
      <c r="K103" s="15">
        <f t="shared" si="17"/>
        <v>133994.60074261721</v>
      </c>
      <c r="L103" s="16">
        <f t="shared" si="18"/>
        <v>61005.399257382742</v>
      </c>
      <c r="M103" s="16">
        <f t="shared" si="19"/>
        <v>66064.669557942121</v>
      </c>
    </row>
    <row r="104" spans="1:13" ht="15">
      <c r="A104" s="17">
        <v>77</v>
      </c>
      <c r="B104" s="15">
        <f t="shared" si="11"/>
        <v>265.77348742310926</v>
      </c>
      <c r="C104" s="15">
        <f t="shared" si="12"/>
        <v>966.75915838817002</v>
      </c>
      <c r="D104" s="15">
        <f t="shared" si="13"/>
        <v>178212.84036885443</v>
      </c>
      <c r="E104" s="16">
        <f t="shared" si="14"/>
        <v>16787.159631145511</v>
      </c>
      <c r="F104" s="16">
        <f t="shared" si="15"/>
        <v>78117.854096323004</v>
      </c>
      <c r="G104" s="1"/>
      <c r="H104" s="17">
        <v>77</v>
      </c>
      <c r="I104" s="15">
        <f t="shared" si="16"/>
        <v>974.08604414086221</v>
      </c>
      <c r="J104" s="15">
        <f t="shared" si="10"/>
        <v>697.88854553446458</v>
      </c>
      <c r="K104" s="15">
        <f t="shared" si="17"/>
        <v>133020.51469847636</v>
      </c>
      <c r="L104" s="16">
        <f t="shared" si="18"/>
        <v>61979.4853015236</v>
      </c>
      <c r="M104" s="16">
        <f t="shared" si="19"/>
        <v>66762.558103476593</v>
      </c>
    </row>
    <row r="105" spans="1:13" ht="15">
      <c r="A105" s="17">
        <v>78</v>
      </c>
      <c r="B105" s="15">
        <f t="shared" si="11"/>
        <v>267.21309381331776</v>
      </c>
      <c r="C105" s="15">
        <f t="shared" si="12"/>
        <v>965.31955199796153</v>
      </c>
      <c r="D105" s="15">
        <f t="shared" si="13"/>
        <v>177945.62727504113</v>
      </c>
      <c r="E105" s="16">
        <f t="shared" si="14"/>
        <v>17054.372724958826</v>
      </c>
      <c r="F105" s="16">
        <f t="shared" si="15"/>
        <v>79083.173648320968</v>
      </c>
      <c r="G105" s="1"/>
      <c r="H105" s="17">
        <v>78</v>
      </c>
      <c r="I105" s="15">
        <f t="shared" si="16"/>
        <v>979.15940895409585</v>
      </c>
      <c r="J105" s="15">
        <f t="shared" si="10"/>
        <v>692.81518072123094</v>
      </c>
      <c r="K105" s="15">
        <f t="shared" si="17"/>
        <v>132041.35528952227</v>
      </c>
      <c r="L105" s="16">
        <f t="shared" si="18"/>
        <v>62958.644710477696</v>
      </c>
      <c r="M105" s="16">
        <f t="shared" si="19"/>
        <v>67455.37328419782</v>
      </c>
    </row>
    <row r="106" spans="1:13" ht="15">
      <c r="A106" s="17">
        <v>79</v>
      </c>
      <c r="B106" s="15">
        <f t="shared" si="11"/>
        <v>268.66049807147317</v>
      </c>
      <c r="C106" s="15">
        <f t="shared" si="12"/>
        <v>963.87214773980611</v>
      </c>
      <c r="D106" s="15">
        <f t="shared" si="13"/>
        <v>177676.96677696967</v>
      </c>
      <c r="E106" s="16">
        <f t="shared" si="14"/>
        <v>17323.033223030299</v>
      </c>
      <c r="F106" s="16">
        <f t="shared" si="15"/>
        <v>80047.045796060775</v>
      </c>
      <c r="G106" s="1"/>
      <c r="H106" s="17">
        <v>79</v>
      </c>
      <c r="I106" s="15">
        <f t="shared" si="16"/>
        <v>984.2591975423984</v>
      </c>
      <c r="J106" s="15">
        <f t="shared" si="10"/>
        <v>687.7153921329284</v>
      </c>
      <c r="K106" s="15">
        <f t="shared" si="17"/>
        <v>131057.09609197987</v>
      </c>
      <c r="L106" s="16">
        <f t="shared" si="18"/>
        <v>63942.903908020096</v>
      </c>
      <c r="M106" s="16">
        <f t="shared" si="19"/>
        <v>68143.08867633075</v>
      </c>
    </row>
    <row r="107" spans="1:13" ht="15">
      <c r="A107" s="17">
        <v>80</v>
      </c>
      <c r="B107" s="15">
        <f t="shared" si="11"/>
        <v>270.11574243602684</v>
      </c>
      <c r="C107" s="15">
        <f t="shared" si="12"/>
        <v>962.41690337525245</v>
      </c>
      <c r="D107" s="15">
        <f t="shared" si="13"/>
        <v>177406.85103453364</v>
      </c>
      <c r="E107" s="16">
        <f t="shared" si="14"/>
        <v>17593.148965466327</v>
      </c>
      <c r="F107" s="16">
        <f t="shared" si="15"/>
        <v>81009.46269943603</v>
      </c>
      <c r="G107" s="1"/>
      <c r="H107" s="17">
        <v>80</v>
      </c>
      <c r="I107" s="15">
        <f t="shared" si="16"/>
        <v>989.3855475295984</v>
      </c>
      <c r="J107" s="15">
        <f t="shared" si="10"/>
        <v>682.5890421457284</v>
      </c>
      <c r="K107" s="15">
        <f t="shared" si="17"/>
        <v>130067.71054445027</v>
      </c>
      <c r="L107" s="16">
        <f t="shared" si="18"/>
        <v>64932.289455549697</v>
      </c>
      <c r="M107" s="16">
        <f t="shared" si="19"/>
        <v>68825.67771847648</v>
      </c>
    </row>
    <row r="108" spans="1:13" ht="15">
      <c r="A108" s="17">
        <v>81</v>
      </c>
      <c r="B108" s="15">
        <f t="shared" si="11"/>
        <v>271.57886937422199</v>
      </c>
      <c r="C108" s="15">
        <f t="shared" si="12"/>
        <v>960.95377643705729</v>
      </c>
      <c r="D108" s="15">
        <f t="shared" si="13"/>
        <v>177135.2721651594</v>
      </c>
      <c r="E108" s="16">
        <f t="shared" si="14"/>
        <v>17864.727834840549</v>
      </c>
      <c r="F108" s="16">
        <f t="shared" si="15"/>
        <v>81970.416475873091</v>
      </c>
      <c r="G108" s="1"/>
      <c r="H108" s="17">
        <v>81</v>
      </c>
      <c r="I108" s="15">
        <f t="shared" si="16"/>
        <v>994.53859725631503</v>
      </c>
      <c r="J108" s="15">
        <f t="shared" si="10"/>
        <v>677.43599241901177</v>
      </c>
      <c r="K108" s="15">
        <f t="shared" si="17"/>
        <v>129073.17194719396</v>
      </c>
      <c r="L108" s="16">
        <f t="shared" si="18"/>
        <v>65926.828052806013</v>
      </c>
      <c r="M108" s="16">
        <f t="shared" si="19"/>
        <v>69503.113710895486</v>
      </c>
    </row>
    <row r="109" spans="1:13" ht="15">
      <c r="A109" s="17">
        <v>82</v>
      </c>
      <c r="B109" s="15">
        <f t="shared" si="11"/>
        <v>273.04992158333243</v>
      </c>
      <c r="C109" s="15">
        <f t="shared" si="12"/>
        <v>959.48272422794685</v>
      </c>
      <c r="D109" s="15">
        <f t="shared" si="13"/>
        <v>176862.22224357608</v>
      </c>
      <c r="E109" s="16">
        <f t="shared" si="14"/>
        <v>18137.777756423882</v>
      </c>
      <c r="F109" s="16">
        <f t="shared" si="15"/>
        <v>82929.899200101034</v>
      </c>
      <c r="G109" s="1"/>
      <c r="H109" s="17">
        <v>82</v>
      </c>
      <c r="I109" s="15">
        <f t="shared" si="16"/>
        <v>999.71848578369168</v>
      </c>
      <c r="J109" s="15">
        <f t="shared" si="10"/>
        <v>672.25610389163512</v>
      </c>
      <c r="K109" s="15">
        <f t="shared" si="17"/>
        <v>128073.45346141026</v>
      </c>
      <c r="L109" s="16">
        <f t="shared" si="18"/>
        <v>66926.546538589711</v>
      </c>
      <c r="M109" s="16">
        <f t="shared" si="19"/>
        <v>70175.369814787118</v>
      </c>
    </row>
    <row r="110" spans="1:13" ht="15">
      <c r="A110" s="17">
        <v>83</v>
      </c>
      <c r="B110" s="15">
        <f t="shared" si="11"/>
        <v>274.52894199190882</v>
      </c>
      <c r="C110" s="15">
        <f t="shared" si="12"/>
        <v>958.00370381937046</v>
      </c>
      <c r="D110" s="15">
        <f t="shared" si="13"/>
        <v>176587.69330158416</v>
      </c>
      <c r="E110" s="16">
        <f t="shared" si="14"/>
        <v>18412.306698415792</v>
      </c>
      <c r="F110" s="16">
        <f t="shared" si="15"/>
        <v>83887.902903920403</v>
      </c>
      <c r="G110" s="1"/>
      <c r="H110" s="17">
        <v>83</v>
      </c>
      <c r="I110" s="15">
        <f t="shared" si="16"/>
        <v>1004.9253528971484</v>
      </c>
      <c r="J110" s="15">
        <f t="shared" si="10"/>
        <v>667.0492367781784</v>
      </c>
      <c r="K110" s="15">
        <f t="shared" si="17"/>
        <v>127068.52810851311</v>
      </c>
      <c r="L110" s="16">
        <f t="shared" si="18"/>
        <v>67931.471891486857</v>
      </c>
      <c r="M110" s="16">
        <f t="shared" si="19"/>
        <v>70842.419051565303</v>
      </c>
    </row>
    <row r="111" spans="1:13" ht="15">
      <c r="A111" s="14" t="s">
        <v>37</v>
      </c>
      <c r="B111" s="15">
        <f t="shared" si="11"/>
        <v>276.01597376103166</v>
      </c>
      <c r="C111" s="15">
        <f t="shared" si="12"/>
        <v>956.51667205024762</v>
      </c>
      <c r="D111" s="15">
        <f t="shared" si="13"/>
        <v>176311.67732782313</v>
      </c>
      <c r="E111" s="16">
        <f t="shared" si="14"/>
        <v>18688.322672176822</v>
      </c>
      <c r="F111" s="16">
        <f t="shared" si="15"/>
        <v>84844.419575970649</v>
      </c>
      <c r="G111" s="1"/>
      <c r="H111" s="14" t="s">
        <v>37</v>
      </c>
      <c r="I111" s="15">
        <f t="shared" si="16"/>
        <v>1010.1593391101544</v>
      </c>
      <c r="J111" s="15">
        <f t="shared" si="10"/>
        <v>661.81525056517239</v>
      </c>
      <c r="K111" s="15">
        <f t="shared" si="17"/>
        <v>126058.36876940296</v>
      </c>
      <c r="L111" s="16">
        <f t="shared" si="18"/>
        <v>68941.631230597006</v>
      </c>
      <c r="M111" s="16">
        <f t="shared" si="19"/>
        <v>71504.23430213047</v>
      </c>
    </row>
    <row r="112" spans="1:13" ht="15">
      <c r="A112" s="17">
        <v>85</v>
      </c>
      <c r="B112" s="15">
        <f t="shared" si="11"/>
        <v>277.51106028557069</v>
      </c>
      <c r="C112" s="15">
        <f t="shared" si="12"/>
        <v>955.02158552570859</v>
      </c>
      <c r="D112" s="15">
        <f t="shared" si="13"/>
        <v>176034.16626753757</v>
      </c>
      <c r="E112" s="16">
        <f t="shared" si="14"/>
        <v>18965.833732462394</v>
      </c>
      <c r="F112" s="16">
        <f t="shared" si="15"/>
        <v>85799.441161496361</v>
      </c>
      <c r="G112" s="1"/>
      <c r="H112" s="17">
        <v>85</v>
      </c>
      <c r="I112" s="15">
        <f t="shared" si="16"/>
        <v>1015.4205856680197</v>
      </c>
      <c r="J112" s="15">
        <f t="shared" si="10"/>
        <v>656.55400400730707</v>
      </c>
      <c r="K112" s="15">
        <f t="shared" si="17"/>
        <v>125042.94818373494</v>
      </c>
      <c r="L112" s="16">
        <f t="shared" si="18"/>
        <v>69957.051816265026</v>
      </c>
      <c r="M112" s="16">
        <f t="shared" si="19"/>
        <v>72160.78830613778</v>
      </c>
    </row>
    <row r="113" spans="1:13" ht="15">
      <c r="A113" s="17">
        <v>86</v>
      </c>
      <c r="B113" s="15">
        <f t="shared" si="11"/>
        <v>279.01424519545071</v>
      </c>
      <c r="C113" s="15">
        <f t="shared" si="12"/>
        <v>953.51840061582857</v>
      </c>
      <c r="D113" s="15">
        <f t="shared" si="13"/>
        <v>175755.15202234211</v>
      </c>
      <c r="E113" s="16">
        <f t="shared" si="14"/>
        <v>19244.847977657846</v>
      </c>
      <c r="F113" s="16">
        <f t="shared" si="15"/>
        <v>86752.959562112184</v>
      </c>
      <c r="G113" s="1"/>
      <c r="H113" s="17">
        <v>86</v>
      </c>
      <c r="I113" s="15">
        <f t="shared" si="16"/>
        <v>1020.7092345517074</v>
      </c>
      <c r="J113" s="15">
        <f t="shared" si="10"/>
        <v>651.26535512361943</v>
      </c>
      <c r="K113" s="15">
        <f t="shared" si="17"/>
        <v>124022.23894918324</v>
      </c>
      <c r="L113" s="16">
        <f t="shared" si="18"/>
        <v>70977.761050816727</v>
      </c>
      <c r="M113" s="16">
        <f t="shared" si="19"/>
        <v>72812.053661261394</v>
      </c>
    </row>
    <row r="114" spans="1:13" ht="15">
      <c r="A114" s="17">
        <v>87</v>
      </c>
      <c r="B114" s="15">
        <f t="shared" si="11"/>
        <v>280.5255723569262</v>
      </c>
      <c r="C114" s="15">
        <f t="shared" si="12"/>
        <v>952.00707345435308</v>
      </c>
      <c r="D114" s="15">
        <f t="shared" si="13"/>
        <v>175474.6264499852</v>
      </c>
      <c r="E114" s="16">
        <f t="shared" si="14"/>
        <v>19525.373550014774</v>
      </c>
      <c r="F114" s="16">
        <f t="shared" si="15"/>
        <v>87704.966635566539</v>
      </c>
      <c r="G114" s="1"/>
      <c r="H114" s="17">
        <v>87</v>
      </c>
      <c r="I114" s="15">
        <f t="shared" si="16"/>
        <v>1026.0254284816642</v>
      </c>
      <c r="J114" s="15">
        <f t="shared" si="10"/>
        <v>645.94916119366269</v>
      </c>
      <c r="K114" s="15">
        <f t="shared" si="17"/>
        <v>122996.21352070158</v>
      </c>
      <c r="L114" s="16">
        <f t="shared" si="18"/>
        <v>72003.786479298389</v>
      </c>
      <c r="M114" s="16">
        <f t="shared" si="19"/>
        <v>73458.002822455062</v>
      </c>
    </row>
    <row r="115" spans="1:13" ht="15">
      <c r="A115" s="17">
        <v>88</v>
      </c>
      <c r="B115" s="15">
        <f t="shared" si="11"/>
        <v>282.04508587385942</v>
      </c>
      <c r="C115" s="15">
        <f t="shared" si="12"/>
        <v>950.48755993741986</v>
      </c>
      <c r="D115" s="15">
        <f t="shared" si="13"/>
        <v>175192.58136411133</v>
      </c>
      <c r="E115" s="16">
        <f t="shared" si="14"/>
        <v>19807.418635888633</v>
      </c>
      <c r="F115" s="16">
        <f t="shared" si="15"/>
        <v>88655.45419550396</v>
      </c>
      <c r="G115" s="1"/>
      <c r="H115" s="17">
        <v>88</v>
      </c>
      <c r="I115" s="15">
        <f t="shared" si="16"/>
        <v>1031.3693109216729</v>
      </c>
      <c r="J115" s="15">
        <f t="shared" si="10"/>
        <v>640.60527875365403</v>
      </c>
      <c r="K115" s="15">
        <f t="shared" si="17"/>
        <v>121964.84420977991</v>
      </c>
      <c r="L115" s="16">
        <f t="shared" si="18"/>
        <v>73035.155790220058</v>
      </c>
      <c r="M115" s="16">
        <f t="shared" si="19"/>
        <v>74098.608101208723</v>
      </c>
    </row>
    <row r="116" spans="1:13" ht="15">
      <c r="A116" s="17">
        <v>89</v>
      </c>
      <c r="B116" s="15">
        <f t="shared" si="11"/>
        <v>283.57283008900947</v>
      </c>
      <c r="C116" s="15">
        <f t="shared" si="12"/>
        <v>948.95981572226981</v>
      </c>
      <c r="D116" s="15">
        <f t="shared" si="13"/>
        <v>174909.00853402232</v>
      </c>
      <c r="E116" s="16">
        <f t="shared" si="14"/>
        <v>20090.99146597764</v>
      </c>
      <c r="F116" s="16">
        <f t="shared" si="15"/>
        <v>89604.414011226225</v>
      </c>
      <c r="G116" s="1"/>
      <c r="H116" s="17">
        <v>89</v>
      </c>
      <c r="I116" s="15">
        <f t="shared" si="16"/>
        <v>1036.7410260827232</v>
      </c>
      <c r="J116" s="15">
        <f t="shared" si="10"/>
        <v>635.23356359260367</v>
      </c>
      <c r="K116" s="15">
        <f t="shared" si="17"/>
        <v>120928.1031836972</v>
      </c>
      <c r="L116" s="16">
        <f t="shared" si="18"/>
        <v>74071.896816302775</v>
      </c>
      <c r="M116" s="16">
        <f t="shared" si="19"/>
        <v>74733.841664801323</v>
      </c>
    </row>
    <row r="117" spans="1:13" ht="15">
      <c r="A117" s="17">
        <v>90</v>
      </c>
      <c r="B117" s="15">
        <f t="shared" si="11"/>
        <v>285.10884958532506</v>
      </c>
      <c r="C117" s="15">
        <f t="shared" si="12"/>
        <v>947.42379622595422</v>
      </c>
      <c r="D117" s="15">
        <f t="shared" si="13"/>
        <v>174623.899684437</v>
      </c>
      <c r="E117" s="16">
        <f t="shared" si="14"/>
        <v>20376.100315562966</v>
      </c>
      <c r="F117" s="16">
        <f t="shared" si="15"/>
        <v>90551.837807452175</v>
      </c>
      <c r="G117" s="1"/>
      <c r="H117" s="17">
        <v>90</v>
      </c>
      <c r="I117" s="15">
        <f t="shared" si="16"/>
        <v>1042.1407189269039</v>
      </c>
      <c r="J117" s="15">
        <f t="shared" si="10"/>
        <v>629.8338707484229</v>
      </c>
      <c r="K117" s="15">
        <f t="shared" si="17"/>
        <v>119885.96246477029</v>
      </c>
      <c r="L117" s="16">
        <f t="shared" si="18"/>
        <v>75114.037535229683</v>
      </c>
      <c r="M117" s="16">
        <f t="shared" si="19"/>
        <v>75363.675535549744</v>
      </c>
    </row>
    <row r="118" spans="1:13" ht="15">
      <c r="A118" s="17">
        <v>91</v>
      </c>
      <c r="B118" s="15">
        <f t="shared" si="11"/>
        <v>286.65318918724552</v>
      </c>
      <c r="C118" s="15">
        <f t="shared" si="12"/>
        <v>945.87945662403376</v>
      </c>
      <c r="D118" s="15">
        <f t="shared" si="13"/>
        <v>174337.24649524974</v>
      </c>
      <c r="E118" s="16">
        <f t="shared" si="14"/>
        <v>20662.75350475021</v>
      </c>
      <c r="F118" s="16">
        <f t="shared" si="15"/>
        <v>91497.717264076215</v>
      </c>
      <c r="G118" s="1"/>
      <c r="H118" s="17">
        <v>91</v>
      </c>
      <c r="I118" s="15">
        <f t="shared" si="16"/>
        <v>1047.568535171315</v>
      </c>
      <c r="J118" s="15">
        <f t="shared" si="10"/>
        <v>624.40605450401188</v>
      </c>
      <c r="K118" s="15">
        <f t="shared" si="17"/>
        <v>118838.39392959897</v>
      </c>
      <c r="L118" s="16">
        <f t="shared" si="18"/>
        <v>76161.606070401001</v>
      </c>
      <c r="M118" s="16">
        <f t="shared" si="19"/>
        <v>75988.081590053756</v>
      </c>
    </row>
    <row r="119" spans="1:13" ht="15">
      <c r="A119" s="17">
        <v>92</v>
      </c>
      <c r="B119" s="15">
        <f t="shared" si="11"/>
        <v>288.20589396200978</v>
      </c>
      <c r="C119" s="15">
        <f t="shared" si="12"/>
        <v>944.3267518492695</v>
      </c>
      <c r="D119" s="15">
        <f t="shared" si="13"/>
        <v>174049.04060128774</v>
      </c>
      <c r="E119" s="16">
        <f t="shared" si="14"/>
        <v>20950.959398712221</v>
      </c>
      <c r="F119" s="16">
        <f t="shared" si="15"/>
        <v>92442.044015925479</v>
      </c>
      <c r="G119" s="1"/>
      <c r="H119" s="17">
        <v>92</v>
      </c>
      <c r="I119" s="15">
        <f t="shared" si="16"/>
        <v>1053.0246212919988</v>
      </c>
      <c r="J119" s="15">
        <f t="shared" si="10"/>
        <v>618.94996838332793</v>
      </c>
      <c r="K119" s="15">
        <f t="shared" si="17"/>
        <v>117785.36930830697</v>
      </c>
      <c r="L119" s="16">
        <f t="shared" si="18"/>
        <v>77214.630691693004</v>
      </c>
      <c r="M119" s="16">
        <f t="shared" si="19"/>
        <v>76607.031558437084</v>
      </c>
    </row>
    <row r="120" spans="1:13" ht="15">
      <c r="A120" s="17">
        <v>93</v>
      </c>
      <c r="B120" s="15">
        <f t="shared" si="11"/>
        <v>289.76700922097064</v>
      </c>
      <c r="C120" s="15">
        <f t="shared" si="12"/>
        <v>942.76563659030865</v>
      </c>
      <c r="D120" s="15">
        <f t="shared" si="13"/>
        <v>173759.27359206678</v>
      </c>
      <c r="E120" s="16">
        <f t="shared" si="14"/>
        <v>21240.726407933191</v>
      </c>
      <c r="F120" s="16">
        <f t="shared" si="15"/>
        <v>93384.809652515789</v>
      </c>
      <c r="G120" s="1"/>
      <c r="H120" s="17">
        <v>93</v>
      </c>
      <c r="I120" s="15">
        <f t="shared" si="16"/>
        <v>1058.5091245278948</v>
      </c>
      <c r="J120" s="15">
        <f t="shared" si="10"/>
        <v>613.46546514743204</v>
      </c>
      <c r="K120" s="15">
        <f t="shared" si="17"/>
        <v>116726.86018377908</v>
      </c>
      <c r="L120" s="16">
        <f t="shared" si="18"/>
        <v>78273.139816220893</v>
      </c>
      <c r="M120" s="16">
        <f t="shared" si="19"/>
        <v>77220.49702358451</v>
      </c>
    </row>
    <row r="121" spans="1:13" ht="15">
      <c r="A121" s="17">
        <v>94</v>
      </c>
      <c r="B121" s="15">
        <f t="shared" si="11"/>
        <v>291.33658052091755</v>
      </c>
      <c r="C121" s="15">
        <f t="shared" si="12"/>
        <v>941.19606529036173</v>
      </c>
      <c r="D121" s="15">
        <f t="shared" si="13"/>
        <v>173467.93701154587</v>
      </c>
      <c r="E121" s="16">
        <f t="shared" si="14"/>
        <v>21532.062988454109</v>
      </c>
      <c r="F121" s="16">
        <f t="shared" si="15"/>
        <v>94326.005717806154</v>
      </c>
      <c r="G121" s="1"/>
      <c r="H121" s="17">
        <v>94</v>
      </c>
      <c r="I121" s="15">
        <f t="shared" si="16"/>
        <v>1064.0221928848109</v>
      </c>
      <c r="J121" s="15">
        <f t="shared" si="10"/>
        <v>607.95239679051599</v>
      </c>
      <c r="K121" s="15">
        <f t="shared" si="17"/>
        <v>115662.83799089427</v>
      </c>
      <c r="L121" s="16">
        <f t="shared" si="18"/>
        <v>79337.162009105698</v>
      </c>
      <c r="M121" s="16">
        <f t="shared" si="19"/>
        <v>77828.449420375022</v>
      </c>
    </row>
    <row r="122" spans="1:13" ht="15">
      <c r="A122" s="17">
        <v>95</v>
      </c>
      <c r="B122" s="15">
        <f t="shared" si="11"/>
        <v>292.91465366540581</v>
      </c>
      <c r="C122" s="15">
        <f t="shared" si="12"/>
        <v>939.61799214587347</v>
      </c>
      <c r="D122" s="15">
        <f t="shared" si="13"/>
        <v>173175.02235788046</v>
      </c>
      <c r="E122" s="16">
        <f t="shared" si="14"/>
        <v>21824.977642119513</v>
      </c>
      <c r="F122" s="16">
        <f t="shared" si="15"/>
        <v>95265.623709952022</v>
      </c>
      <c r="G122" s="1"/>
      <c r="H122" s="17">
        <v>95</v>
      </c>
      <c r="I122" s="15">
        <f t="shared" si="16"/>
        <v>1069.5639751394192</v>
      </c>
      <c r="J122" s="15">
        <f t="shared" si="10"/>
        <v>602.4106145359076</v>
      </c>
      <c r="K122" s="15">
        <f t="shared" si="17"/>
        <v>114593.27401575485</v>
      </c>
      <c r="L122" s="16">
        <f t="shared" si="18"/>
        <v>80406.725984245117</v>
      </c>
      <c r="M122" s="16">
        <f t="shared" si="19"/>
        <v>78430.860034910933</v>
      </c>
    </row>
    <row r="123" spans="1:13" ht="15">
      <c r="A123" s="14" t="s">
        <v>38</v>
      </c>
      <c r="B123" s="15">
        <f t="shared" si="11"/>
        <v>294.50127470609345</v>
      </c>
      <c r="C123" s="15">
        <f t="shared" si="12"/>
        <v>938.03137110518583</v>
      </c>
      <c r="D123" s="15">
        <f t="shared" si="13"/>
        <v>172880.52108317436</v>
      </c>
      <c r="E123" s="16">
        <f t="shared" si="14"/>
        <v>22119.478916825607</v>
      </c>
      <c r="F123" s="16">
        <f t="shared" si="15"/>
        <v>96203.655081057208</v>
      </c>
      <c r="G123" s="1"/>
      <c r="H123" s="14" t="s">
        <v>38</v>
      </c>
      <c r="I123" s="15">
        <f t="shared" si="16"/>
        <v>1075.1346208432703</v>
      </c>
      <c r="J123" s="15">
        <f t="shared" si="10"/>
        <v>596.83996883205646</v>
      </c>
      <c r="K123" s="15">
        <f t="shared" si="17"/>
        <v>113518.13939491159</v>
      </c>
      <c r="L123" s="16">
        <f t="shared" si="18"/>
        <v>81481.860605088383</v>
      </c>
      <c r="M123" s="16">
        <f t="shared" si="19"/>
        <v>79027.700003742983</v>
      </c>
    </row>
    <row r="124" spans="1:13" ht="15">
      <c r="A124" s="17">
        <v>97</v>
      </c>
      <c r="B124" s="15">
        <f t="shared" si="11"/>
        <v>296.09648994408485</v>
      </c>
      <c r="C124" s="15">
        <f t="shared" si="12"/>
        <v>936.43615586719443</v>
      </c>
      <c r="D124" s="15">
        <f t="shared" si="13"/>
        <v>172584.42459323027</v>
      </c>
      <c r="E124" s="16">
        <f t="shared" si="14"/>
        <v>22415.575406769691</v>
      </c>
      <c r="F124" s="16">
        <f t="shared" si="15"/>
        <v>97140.091236924403</v>
      </c>
      <c r="G124" s="1"/>
      <c r="H124" s="17">
        <v>97</v>
      </c>
      <c r="I124" s="15">
        <f t="shared" si="16"/>
        <v>1080.7342803268289</v>
      </c>
      <c r="J124" s="15">
        <f t="shared" si="10"/>
        <v>591.24030934849782</v>
      </c>
      <c r="K124" s="15">
        <f t="shared" si="17"/>
        <v>112437.40511458476</v>
      </c>
      <c r="L124" s="16">
        <f t="shared" si="18"/>
        <v>82562.594885415208</v>
      </c>
      <c r="M124" s="16">
        <f t="shared" si="19"/>
        <v>79618.940313091487</v>
      </c>
    </row>
    <row r="125" spans="1:13" ht="15">
      <c r="A125" s="17">
        <v>98</v>
      </c>
      <c r="B125" s="15">
        <f t="shared" si="11"/>
        <v>297.70034593128196</v>
      </c>
      <c r="C125" s="15">
        <f t="shared" si="12"/>
        <v>934.83229987999732</v>
      </c>
      <c r="D125" s="15">
        <f t="shared" si="13"/>
        <v>172286.72424729899</v>
      </c>
      <c r="E125" s="16">
        <f t="shared" si="14"/>
        <v>22713.275752700974</v>
      </c>
      <c r="F125" s="16">
        <f t="shared" si="15"/>
        <v>98074.923536804403</v>
      </c>
      <c r="G125" s="1"/>
      <c r="H125" s="17">
        <v>98</v>
      </c>
      <c r="I125" s="15">
        <f t="shared" si="16"/>
        <v>1086.3631047035312</v>
      </c>
      <c r="J125" s="15">
        <f t="shared" si="10"/>
        <v>585.61148497179556</v>
      </c>
      <c r="K125" s="15">
        <f t="shared" si="17"/>
        <v>111351.04200988123</v>
      </c>
      <c r="L125" s="16">
        <f t="shared" si="18"/>
        <v>83648.957990118739</v>
      </c>
      <c r="M125" s="16">
        <f t="shared" si="19"/>
        <v>80204.551798063287</v>
      </c>
    </row>
    <row r="126" spans="1:13" ht="15">
      <c r="A126" s="17">
        <v>99</v>
      </c>
      <c r="B126" s="15">
        <f t="shared" si="11"/>
        <v>299.31288947174301</v>
      </c>
      <c r="C126" s="15">
        <f t="shared" si="12"/>
        <v>933.21975633953627</v>
      </c>
      <c r="D126" s="15">
        <f t="shared" si="13"/>
        <v>171987.41135782725</v>
      </c>
      <c r="E126" s="16">
        <f t="shared" si="14"/>
        <v>23012.588642172719</v>
      </c>
      <c r="F126" s="16">
        <f t="shared" si="15"/>
        <v>99008.143293143934</v>
      </c>
      <c r="G126" s="1"/>
      <c r="H126" s="17">
        <v>99</v>
      </c>
      <c r="I126" s="15">
        <f t="shared" si="16"/>
        <v>1092.021245873862</v>
      </c>
      <c r="J126" s="15">
        <f t="shared" si="10"/>
        <v>579.95334380146471</v>
      </c>
      <c r="K126" s="15">
        <f t="shared" si="17"/>
        <v>110259.02076400736</v>
      </c>
      <c r="L126" s="16">
        <f t="shared" si="18"/>
        <v>84740.979235992607</v>
      </c>
      <c r="M126" s="16">
        <f t="shared" si="19"/>
        <v>80784.505141864749</v>
      </c>
    </row>
    <row r="127" spans="1:13" ht="15">
      <c r="A127" s="17">
        <v>100</v>
      </c>
      <c r="B127" s="15">
        <f t="shared" si="11"/>
        <v>300.93416762304832</v>
      </c>
      <c r="C127" s="15">
        <f t="shared" si="12"/>
        <v>931.59847818823096</v>
      </c>
      <c r="D127" s="15">
        <f t="shared" si="13"/>
        <v>171686.4771902042</v>
      </c>
      <c r="E127" s="16">
        <f t="shared" si="14"/>
        <v>23313.522809795766</v>
      </c>
      <c r="F127" s="16">
        <f t="shared" si="15"/>
        <v>99939.741771332163</v>
      </c>
      <c r="G127" s="1"/>
      <c r="H127" s="17">
        <v>100</v>
      </c>
      <c r="I127" s="15">
        <f t="shared" si="16"/>
        <v>1097.7088565294553</v>
      </c>
      <c r="J127" s="15">
        <f t="shared" si="10"/>
        <v>574.26573314587165</v>
      </c>
      <c r="K127" s="15">
        <f t="shared" si="17"/>
        <v>109161.31190747791</v>
      </c>
      <c r="L127" s="16">
        <f t="shared" si="18"/>
        <v>85838.688092522061</v>
      </c>
      <c r="M127" s="16">
        <f t="shared" si="19"/>
        <v>81358.770875010625</v>
      </c>
    </row>
    <row r="128" spans="1:13" ht="15">
      <c r="A128" s="17">
        <v>101</v>
      </c>
      <c r="B128" s="15">
        <f t="shared" si="11"/>
        <v>302.56422769767323</v>
      </c>
      <c r="C128" s="15">
        <f t="shared" si="12"/>
        <v>929.96841811360605</v>
      </c>
      <c r="D128" s="15">
        <f t="shared" si="13"/>
        <v>171383.91296250653</v>
      </c>
      <c r="E128" s="16">
        <f t="shared" si="14"/>
        <v>23616.087037493438</v>
      </c>
      <c r="F128" s="16">
        <f t="shared" si="15"/>
        <v>100869.71018944577</v>
      </c>
      <c r="G128" s="1"/>
      <c r="H128" s="17">
        <v>101</v>
      </c>
      <c r="I128" s="15">
        <f t="shared" si="16"/>
        <v>1103.4260901572127</v>
      </c>
      <c r="J128" s="15">
        <f t="shared" si="10"/>
        <v>568.54849951811411</v>
      </c>
      <c r="K128" s="15">
        <f t="shared" si="17"/>
        <v>108057.8858173207</v>
      </c>
      <c r="L128" s="16">
        <f t="shared" si="18"/>
        <v>86942.114182679274</v>
      </c>
      <c r="M128" s="16">
        <f t="shared" si="19"/>
        <v>81927.319374528743</v>
      </c>
    </row>
    <row r="129" spans="1:13" ht="15">
      <c r="A129" s="17">
        <v>102</v>
      </c>
      <c r="B129" s="15">
        <f t="shared" si="11"/>
        <v>304.20311726436887</v>
      </c>
      <c r="C129" s="15">
        <f t="shared" si="12"/>
        <v>928.32952854691041</v>
      </c>
      <c r="D129" s="15">
        <f t="shared" si="13"/>
        <v>171079.70984524215</v>
      </c>
      <c r="E129" s="16">
        <f t="shared" si="14"/>
        <v>23920.290154757808</v>
      </c>
      <c r="F129" s="16">
        <f t="shared" si="15"/>
        <v>101798.03971799268</v>
      </c>
      <c r="G129" s="1"/>
      <c r="H129" s="17">
        <v>102</v>
      </c>
      <c r="I129" s="15">
        <f t="shared" si="16"/>
        <v>1109.1731010434482</v>
      </c>
      <c r="J129" s="15">
        <f t="shared" si="10"/>
        <v>562.80148863187856</v>
      </c>
      <c r="K129" s="15">
        <f t="shared" si="17"/>
        <v>106948.71271627725</v>
      </c>
      <c r="L129" s="16">
        <f t="shared" si="18"/>
        <v>88051.287283722719</v>
      </c>
      <c r="M129" s="16">
        <f t="shared" si="19"/>
        <v>82490.120863160628</v>
      </c>
    </row>
    <row r="130" spans="1:13" ht="15">
      <c r="A130" s="17">
        <v>103</v>
      </c>
      <c r="B130" s="15">
        <f t="shared" si="11"/>
        <v>305.85088414955089</v>
      </c>
      <c r="C130" s="15">
        <f t="shared" si="12"/>
        <v>926.68176166172839</v>
      </c>
      <c r="D130" s="15">
        <f t="shared" si="13"/>
        <v>170773.8589610926</v>
      </c>
      <c r="E130" s="16">
        <f t="shared" si="14"/>
        <v>24226.141038907357</v>
      </c>
      <c r="F130" s="16">
        <f t="shared" si="15"/>
        <v>102724.72147965441</v>
      </c>
      <c r="G130" s="1"/>
      <c r="H130" s="17">
        <v>103</v>
      </c>
      <c r="I130" s="15">
        <f t="shared" si="16"/>
        <v>1114.9500442780495</v>
      </c>
      <c r="J130" s="15">
        <f t="shared" si="10"/>
        <v>557.02454539727728</v>
      </c>
      <c r="K130" s="15">
        <f t="shared" si="17"/>
        <v>105833.7626719992</v>
      </c>
      <c r="L130" s="16">
        <f t="shared" si="18"/>
        <v>89166.237328000774</v>
      </c>
      <c r="M130" s="16">
        <f t="shared" si="19"/>
        <v>83047.145408557903</v>
      </c>
    </row>
    <row r="131" spans="1:13" ht="15">
      <c r="A131" s="17">
        <v>104</v>
      </c>
      <c r="B131" s="15">
        <f t="shared" si="11"/>
        <v>307.50757643869429</v>
      </c>
      <c r="C131" s="15">
        <f t="shared" si="12"/>
        <v>925.02506937258499</v>
      </c>
      <c r="D131" s="15">
        <f t="shared" si="13"/>
        <v>170466.35138465391</v>
      </c>
      <c r="E131" s="16">
        <f t="shared" si="14"/>
        <v>24533.64861534605</v>
      </c>
      <c r="F131" s="16">
        <f t="shared" si="15"/>
        <v>103649.746549027</v>
      </c>
      <c r="G131" s="1"/>
      <c r="H131" s="17">
        <v>104</v>
      </c>
      <c r="I131" s="15">
        <f t="shared" si="16"/>
        <v>1120.7570757586643</v>
      </c>
      <c r="J131" s="15">
        <f t="shared" si="10"/>
        <v>551.21751391666248</v>
      </c>
      <c r="K131" s="15">
        <f t="shared" si="17"/>
        <v>104713.00559624053</v>
      </c>
      <c r="L131" s="16">
        <f t="shared" si="18"/>
        <v>90286.99440375944</v>
      </c>
      <c r="M131" s="16">
        <f t="shared" si="19"/>
        <v>83598.362922474567</v>
      </c>
    </row>
    <row r="132" spans="1:13" ht="15">
      <c r="A132" s="17">
        <v>105</v>
      </c>
      <c r="B132" s="15">
        <f t="shared" si="11"/>
        <v>309.17324247773718</v>
      </c>
      <c r="C132" s="15">
        <f t="shared" si="12"/>
        <v>923.3594033335421</v>
      </c>
      <c r="D132" s="15">
        <f t="shared" si="13"/>
        <v>170157.17814217618</v>
      </c>
      <c r="E132" s="16">
        <f t="shared" si="14"/>
        <v>24842.821857823787</v>
      </c>
      <c r="F132" s="16">
        <f t="shared" si="15"/>
        <v>104573.10595236054</v>
      </c>
      <c r="G132" s="1"/>
      <c r="H132" s="17">
        <v>105</v>
      </c>
      <c r="I132" s="15">
        <f t="shared" si="16"/>
        <v>1126.5943521949075</v>
      </c>
      <c r="J132" s="15">
        <f t="shared" si="10"/>
        <v>545.3802374804194</v>
      </c>
      <c r="K132" s="15">
        <f t="shared" si="17"/>
        <v>103586.41124404562</v>
      </c>
      <c r="L132" s="16">
        <f t="shared" si="18"/>
        <v>91413.588755954348</v>
      </c>
      <c r="M132" s="16">
        <f t="shared" si="19"/>
        <v>84143.743159954989</v>
      </c>
    </row>
    <row r="133" spans="1:13" ht="15">
      <c r="A133" s="17">
        <v>106</v>
      </c>
      <c r="B133" s="15">
        <f t="shared" si="11"/>
        <v>310.84793087449157</v>
      </c>
      <c r="C133" s="15">
        <f t="shared" si="12"/>
        <v>921.68471493678771</v>
      </c>
      <c r="D133" s="15">
        <f t="shared" si="13"/>
        <v>169846.33021130168</v>
      </c>
      <c r="E133" s="16">
        <f t="shared" si="14"/>
        <v>25153.669788698277</v>
      </c>
      <c r="F133" s="16">
        <f t="shared" si="15"/>
        <v>105494.79066729732</v>
      </c>
      <c r="G133" s="1"/>
      <c r="H133" s="17">
        <v>106</v>
      </c>
      <c r="I133" s="15">
        <f t="shared" si="16"/>
        <v>1132.4620311125891</v>
      </c>
      <c r="J133" s="15">
        <f t="shared" si="10"/>
        <v>539.51255856273758</v>
      </c>
      <c r="K133" s="15">
        <f t="shared" si="17"/>
        <v>102453.94921293303</v>
      </c>
      <c r="L133" s="16">
        <f t="shared" si="18"/>
        <v>92546.050787066939</v>
      </c>
      <c r="M133" s="16">
        <f t="shared" si="19"/>
        <v>84683.255718517728</v>
      </c>
    </row>
    <row r="134" spans="1:13" ht="15">
      <c r="A134" s="17">
        <v>107</v>
      </c>
      <c r="B134" s="15">
        <f t="shared" si="11"/>
        <v>312.53169050006181</v>
      </c>
      <c r="C134" s="15">
        <f t="shared" si="12"/>
        <v>920.00095531121747</v>
      </c>
      <c r="D134" s="15">
        <f t="shared" si="13"/>
        <v>169533.79852080162</v>
      </c>
      <c r="E134" s="16">
        <f t="shared" si="14"/>
        <v>25466.201479198338</v>
      </c>
      <c r="F134" s="16">
        <f t="shared" si="15"/>
        <v>106414.79162260854</v>
      </c>
      <c r="G134" s="1"/>
      <c r="H134" s="17">
        <v>107</v>
      </c>
      <c r="I134" s="15">
        <f t="shared" si="16"/>
        <v>1138.3602708579674</v>
      </c>
      <c r="J134" s="15">
        <f t="shared" si="10"/>
        <v>533.6143188173595</v>
      </c>
      <c r="K134" s="15">
        <f t="shared" si="17"/>
        <v>101315.58894207506</v>
      </c>
      <c r="L134" s="16">
        <f t="shared" si="18"/>
        <v>93684.41105792491</v>
      </c>
      <c r="M134" s="16">
        <f t="shared" si="19"/>
        <v>85216.870037335088</v>
      </c>
    </row>
    <row r="135" spans="1:13" ht="15">
      <c r="A135" s="14" t="s">
        <v>39</v>
      </c>
      <c r="B135" s="15">
        <f t="shared" si="11"/>
        <v>314.22457049027048</v>
      </c>
      <c r="C135" s="15">
        <f t="shared" si="12"/>
        <v>918.3080753210088</v>
      </c>
      <c r="D135" s="15">
        <f t="shared" si="13"/>
        <v>169219.57395031134</v>
      </c>
      <c r="E135" s="16">
        <f t="shared" si="14"/>
        <v>25780.426049688609</v>
      </c>
      <c r="F135" s="16">
        <f t="shared" si="15"/>
        <v>107333.09969792955</v>
      </c>
      <c r="G135" s="1"/>
      <c r="H135" s="14" t="s">
        <v>39</v>
      </c>
      <c r="I135" s="15">
        <f t="shared" si="16"/>
        <v>1144.2892306020192</v>
      </c>
      <c r="J135" s="15">
        <f t="shared" si="10"/>
        <v>527.68535907330761</v>
      </c>
      <c r="K135" s="15">
        <f t="shared" si="17"/>
        <v>100171.29971147304</v>
      </c>
      <c r="L135" s="16">
        <f t="shared" si="18"/>
        <v>94828.700288526932</v>
      </c>
      <c r="M135" s="16">
        <f t="shared" si="19"/>
        <v>85744.555396408396</v>
      </c>
    </row>
    <row r="136" spans="1:13" ht="15">
      <c r="A136" s="17">
        <v>109</v>
      </c>
      <c r="B136" s="15">
        <f t="shared" si="11"/>
        <v>315.92662024709284</v>
      </c>
      <c r="C136" s="15">
        <f t="shared" si="12"/>
        <v>916.60602556418644</v>
      </c>
      <c r="D136" s="15">
        <f t="shared" si="13"/>
        <v>168903.64733006424</v>
      </c>
      <c r="E136" s="16">
        <f t="shared" si="14"/>
        <v>26096.352669935703</v>
      </c>
      <c r="F136" s="16">
        <f t="shared" si="15"/>
        <v>108249.70572349374</v>
      </c>
      <c r="G136" s="1"/>
      <c r="H136" s="17">
        <v>109</v>
      </c>
      <c r="I136" s="15">
        <f t="shared" si="16"/>
        <v>1150.2490703447381</v>
      </c>
      <c r="J136" s="15">
        <f t="shared" si="10"/>
        <v>521.72551933058867</v>
      </c>
      <c r="K136" s="15">
        <f t="shared" si="17"/>
        <v>99021.050641128299</v>
      </c>
      <c r="L136" s="16">
        <f t="shared" si="18"/>
        <v>95978.949358871672</v>
      </c>
      <c r="M136" s="16">
        <f t="shared" si="19"/>
        <v>86266.280915738986</v>
      </c>
    </row>
    <row r="137" spans="1:13" ht="15">
      <c r="A137" s="17">
        <v>110</v>
      </c>
      <c r="B137" s="15">
        <f t="shared" si="11"/>
        <v>317.63788944009798</v>
      </c>
      <c r="C137" s="15">
        <f t="shared" si="12"/>
        <v>914.8947563711813</v>
      </c>
      <c r="D137" s="15">
        <f t="shared" si="13"/>
        <v>168586.00944062416</v>
      </c>
      <c r="E137" s="16">
        <f t="shared" si="14"/>
        <v>26413.990559375801</v>
      </c>
      <c r="F137" s="16">
        <f t="shared" si="15"/>
        <v>109164.60047986492</v>
      </c>
      <c r="G137" s="1"/>
      <c r="H137" s="17">
        <v>110</v>
      </c>
      <c r="I137" s="15">
        <f t="shared" si="16"/>
        <v>1156.2399509194502</v>
      </c>
      <c r="J137" s="15">
        <f t="shared" si="10"/>
        <v>515.73463875587652</v>
      </c>
      <c r="K137" s="15">
        <f t="shared" si="17"/>
        <v>97864.810690208848</v>
      </c>
      <c r="L137" s="16">
        <f t="shared" si="18"/>
        <v>97135.189309791123</v>
      </c>
      <c r="M137" s="16">
        <f t="shared" si="19"/>
        <v>86782.015554494865</v>
      </c>
    </row>
    <row r="138" spans="1:13" ht="15">
      <c r="A138" s="17">
        <v>111</v>
      </c>
      <c r="B138" s="15">
        <f t="shared" si="11"/>
        <v>319.3584280078984</v>
      </c>
      <c r="C138" s="15">
        <f t="shared" si="12"/>
        <v>913.17421780338088</v>
      </c>
      <c r="D138" s="15">
        <f t="shared" si="13"/>
        <v>168266.65101261626</v>
      </c>
      <c r="E138" s="16">
        <f t="shared" si="14"/>
        <v>26733.348987383699</v>
      </c>
      <c r="F138" s="16">
        <f t="shared" si="15"/>
        <v>110077.7746976683</v>
      </c>
      <c r="G138" s="1"/>
      <c r="H138" s="17">
        <v>111</v>
      </c>
      <c r="I138" s="15">
        <f t="shared" si="16"/>
        <v>1162.2620339971559</v>
      </c>
      <c r="J138" s="15">
        <f t="shared" si="10"/>
        <v>509.71255567817104</v>
      </c>
      <c r="K138" s="15">
        <f t="shared" si="17"/>
        <v>96702.548656211686</v>
      </c>
      <c r="L138" s="16">
        <f t="shared" si="18"/>
        <v>98297.451343788285</v>
      </c>
      <c r="M138" s="16">
        <f t="shared" si="19"/>
        <v>87291.728110173033</v>
      </c>
    </row>
    <row r="139" spans="1:13" ht="15">
      <c r="A139" s="17">
        <v>112</v>
      </c>
      <c r="B139" s="15">
        <f t="shared" si="11"/>
        <v>321.08828615960783</v>
      </c>
      <c r="C139" s="15">
        <f t="shared" si="12"/>
        <v>911.44435965167145</v>
      </c>
      <c r="D139" s="15">
        <f t="shared" si="13"/>
        <v>167945.56272645664</v>
      </c>
      <c r="E139" s="16">
        <f t="shared" si="14"/>
        <v>27054.437273543306</v>
      </c>
      <c r="F139" s="16">
        <f t="shared" si="15"/>
        <v>110989.21905731996</v>
      </c>
      <c r="G139" s="1"/>
      <c r="H139" s="17">
        <v>112</v>
      </c>
      <c r="I139" s="15">
        <f t="shared" si="16"/>
        <v>1168.315482090891</v>
      </c>
      <c r="J139" s="15">
        <f t="shared" si="10"/>
        <v>503.65910758443584</v>
      </c>
      <c r="K139" s="15">
        <f t="shared" si="17"/>
        <v>95534.233174120789</v>
      </c>
      <c r="L139" s="16">
        <f t="shared" si="18"/>
        <v>99465.766825879182</v>
      </c>
      <c r="M139" s="16">
        <f t="shared" si="19"/>
        <v>87795.387217757467</v>
      </c>
    </row>
    <row r="140" spans="1:13" ht="15">
      <c r="A140" s="17">
        <v>113</v>
      </c>
      <c r="B140" s="15">
        <f t="shared" si="11"/>
        <v>322.82751437630577</v>
      </c>
      <c r="C140" s="15">
        <f t="shared" si="12"/>
        <v>909.70513143497351</v>
      </c>
      <c r="D140" s="15">
        <f t="shared" si="13"/>
        <v>167622.73521208033</v>
      </c>
      <c r="E140" s="16">
        <f t="shared" si="14"/>
        <v>27377.264787919612</v>
      </c>
      <c r="F140" s="16">
        <f t="shared" si="15"/>
        <v>111898.92418875493</v>
      </c>
      <c r="G140" s="1"/>
      <c r="H140" s="17">
        <v>113</v>
      </c>
      <c r="I140" s="15">
        <f t="shared" si="16"/>
        <v>1174.4004585601144</v>
      </c>
      <c r="J140" s="15">
        <f t="shared" si="10"/>
        <v>497.57413111521242</v>
      </c>
      <c r="K140" s="15">
        <f t="shared" si="17"/>
        <v>94359.832715560668</v>
      </c>
      <c r="L140" s="16">
        <f t="shared" si="18"/>
        <v>100640.1672844393</v>
      </c>
      <c r="M140" s="16">
        <f t="shared" si="19"/>
        <v>88292.961348872675</v>
      </c>
    </row>
    <row r="141" spans="1:13" ht="15">
      <c r="A141" s="17">
        <v>114</v>
      </c>
      <c r="B141" s="15">
        <f t="shared" si="11"/>
        <v>324.57616341251082</v>
      </c>
      <c r="C141" s="15">
        <f t="shared" si="12"/>
        <v>907.95648239876846</v>
      </c>
      <c r="D141" s="15">
        <f t="shared" si="13"/>
        <v>167298.15904866782</v>
      </c>
      <c r="E141" s="16">
        <f t="shared" si="14"/>
        <v>27701.840951332124</v>
      </c>
      <c r="F141" s="16">
        <f t="shared" si="15"/>
        <v>112806.8806711537</v>
      </c>
      <c r="G141" s="1"/>
      <c r="H141" s="17">
        <v>114</v>
      </c>
      <c r="I141" s="15">
        <f t="shared" si="16"/>
        <v>1180.517127615115</v>
      </c>
      <c r="J141" s="15">
        <f t="shared" si="10"/>
        <v>491.45746206021181</v>
      </c>
      <c r="K141" s="15">
        <f t="shared" si="17"/>
        <v>93179.315587945559</v>
      </c>
      <c r="L141" s="16">
        <f t="shared" si="18"/>
        <v>101820.68441205441</v>
      </c>
      <c r="M141" s="16">
        <f t="shared" si="19"/>
        <v>88784.418810932882</v>
      </c>
    </row>
    <row r="142" spans="1:13" ht="15">
      <c r="A142" s="17">
        <v>115</v>
      </c>
      <c r="B142" s="15">
        <f t="shared" si="11"/>
        <v>326.33428429766195</v>
      </c>
      <c r="C142" s="15">
        <f t="shared" si="12"/>
        <v>906.19836151361733</v>
      </c>
      <c r="D142" s="15">
        <f t="shared" si="13"/>
        <v>166971.82476437016</v>
      </c>
      <c r="E142" s="16">
        <f t="shared" si="14"/>
        <v>28028.175235629787</v>
      </c>
      <c r="F142" s="16">
        <f t="shared" si="15"/>
        <v>113713.07903266732</v>
      </c>
      <c r="G142" s="1"/>
      <c r="H142" s="17">
        <v>115</v>
      </c>
      <c r="I142" s="15">
        <f t="shared" si="16"/>
        <v>1186.6656543214438</v>
      </c>
      <c r="J142" s="15">
        <f t="shared" si="10"/>
        <v>485.3089353538831</v>
      </c>
      <c r="K142" s="15">
        <f t="shared" si="17"/>
        <v>91992.64993362411</v>
      </c>
      <c r="L142" s="16">
        <f t="shared" si="18"/>
        <v>103007.35006637586</v>
      </c>
      <c r="M142" s="16">
        <f t="shared" si="19"/>
        <v>89269.727746286764</v>
      </c>
    </row>
    <row r="143" spans="1:13" ht="15">
      <c r="A143" s="17">
        <v>116</v>
      </c>
      <c r="B143" s="15">
        <f t="shared" si="11"/>
        <v>328.10192833760755</v>
      </c>
      <c r="C143" s="15">
        <f t="shared" si="12"/>
        <v>904.43071747367173</v>
      </c>
      <c r="D143" s="15">
        <f t="shared" si="13"/>
        <v>166643.72283603257</v>
      </c>
      <c r="E143" s="16">
        <f t="shared" si="14"/>
        <v>28356.277163967396</v>
      </c>
      <c r="F143" s="16">
        <f t="shared" si="15"/>
        <v>114617.50975014099</v>
      </c>
      <c r="G143" s="1"/>
      <c r="H143" s="17">
        <v>116</v>
      </c>
      <c r="I143" s="15">
        <f t="shared" si="16"/>
        <v>1192.8462046043678</v>
      </c>
      <c r="J143" s="15">
        <f t="shared" si="10"/>
        <v>479.12838507095887</v>
      </c>
      <c r="K143" s="15">
        <f t="shared" si="17"/>
        <v>90799.803729019739</v>
      </c>
      <c r="L143" s="16">
        <f t="shared" si="18"/>
        <v>104200.19627098023</v>
      </c>
      <c r="M143" s="16">
        <f t="shared" si="19"/>
        <v>89748.856131357723</v>
      </c>
    </row>
    <row r="144" spans="1:13" ht="15">
      <c r="A144" s="17">
        <v>117</v>
      </c>
      <c r="B144" s="15">
        <f t="shared" si="11"/>
        <v>329.87914711610279</v>
      </c>
      <c r="C144" s="15">
        <f t="shared" si="12"/>
        <v>902.65349869517649</v>
      </c>
      <c r="D144" s="15">
        <f t="shared" si="13"/>
        <v>166313.84368891647</v>
      </c>
      <c r="E144" s="16">
        <f t="shared" si="14"/>
        <v>28686.156311083498</v>
      </c>
      <c r="F144" s="16">
        <f t="shared" si="15"/>
        <v>115520.16324883616</v>
      </c>
      <c r="G144" s="1"/>
      <c r="H144" s="17">
        <v>117</v>
      </c>
      <c r="I144" s="15">
        <f t="shared" si="16"/>
        <v>1199.0589452533491</v>
      </c>
      <c r="J144" s="15">
        <f t="shared" si="10"/>
        <v>472.91564442197779</v>
      </c>
      <c r="K144" s="15">
        <f t="shared" si="17"/>
        <v>89600.744783766393</v>
      </c>
      <c r="L144" s="16">
        <f t="shared" si="18"/>
        <v>105399.25521623358</v>
      </c>
      <c r="M144" s="16">
        <f t="shared" si="19"/>
        <v>90221.771775779707</v>
      </c>
    </row>
    <row r="145" spans="1:13" ht="15">
      <c r="A145" s="17">
        <v>118</v>
      </c>
      <c r="B145" s="15">
        <f t="shared" si="11"/>
        <v>331.66599249631497</v>
      </c>
      <c r="C145" s="15">
        <f t="shared" si="12"/>
        <v>900.86665331496431</v>
      </c>
      <c r="D145" s="15">
        <f t="shared" si="13"/>
        <v>165982.17769642017</v>
      </c>
      <c r="E145" s="16">
        <f t="shared" si="14"/>
        <v>29017.822303579811</v>
      </c>
      <c r="F145" s="16">
        <f t="shared" si="15"/>
        <v>116421.02990215113</v>
      </c>
      <c r="G145" s="1"/>
      <c r="H145" s="17">
        <v>118</v>
      </c>
      <c r="I145" s="15">
        <f t="shared" si="16"/>
        <v>1205.3040439265435</v>
      </c>
      <c r="J145" s="15">
        <f t="shared" si="10"/>
        <v>466.6705457487833</v>
      </c>
      <c r="K145" s="15">
        <f t="shared" si="17"/>
        <v>88395.440739839847</v>
      </c>
      <c r="L145" s="16">
        <f t="shared" si="18"/>
        <v>106604.55926016012</v>
      </c>
      <c r="M145" s="16">
        <f t="shared" si="19"/>
        <v>90688.442321528491</v>
      </c>
    </row>
    <row r="146" spans="1:13" ht="15">
      <c r="A146" s="17">
        <v>119</v>
      </c>
      <c r="B146" s="15">
        <f t="shared" si="11"/>
        <v>333.46251662233669</v>
      </c>
      <c r="C146" s="15">
        <f t="shared" si="12"/>
        <v>899.07012918894259</v>
      </c>
      <c r="D146" s="15">
        <f t="shared" si="13"/>
        <v>165648.71517979784</v>
      </c>
      <c r="E146" s="16">
        <f t="shared" si="14"/>
        <v>29351.284820202149</v>
      </c>
      <c r="F146" s="16">
        <f t="shared" si="15"/>
        <v>117320.10003134007</v>
      </c>
      <c r="G146" s="1"/>
      <c r="H146" s="17">
        <v>119</v>
      </c>
      <c r="I146" s="15">
        <f t="shared" si="16"/>
        <v>1211.5816691553277</v>
      </c>
      <c r="J146" s="15">
        <f t="shared" si="10"/>
        <v>460.39292051999917</v>
      </c>
      <c r="K146" s="15">
        <f t="shared" si="17"/>
        <v>87183.859070684513</v>
      </c>
      <c r="L146" s="16">
        <f t="shared" si="18"/>
        <v>107816.14092931546</v>
      </c>
      <c r="M146" s="16">
        <f t="shared" si="19"/>
        <v>91148.835242048488</v>
      </c>
    </row>
    <row r="147" spans="1:13" ht="15">
      <c r="A147" s="14" t="s">
        <v>40</v>
      </c>
      <c r="B147" s="15">
        <f t="shared" si="11"/>
        <v>335.26877192070765</v>
      </c>
      <c r="C147" s="15">
        <f t="shared" si="12"/>
        <v>897.26387389057163</v>
      </c>
      <c r="D147" s="15">
        <f t="shared" si="13"/>
        <v>165313.44640787714</v>
      </c>
      <c r="E147" s="16">
        <f t="shared" si="14"/>
        <v>29686.553592122855</v>
      </c>
      <c r="F147" s="16">
        <f t="shared" si="15"/>
        <v>118217.36390523064</v>
      </c>
      <c r="G147" s="1"/>
      <c r="H147" s="14" t="s">
        <v>40</v>
      </c>
      <c r="I147" s="15">
        <f t="shared" si="16"/>
        <v>1217.891990348845</v>
      </c>
      <c r="J147" s="15">
        <f t="shared" si="10"/>
        <v>454.08259932648184</v>
      </c>
      <c r="K147" s="15">
        <f t="shared" si="17"/>
        <v>85965.967080335671</v>
      </c>
      <c r="L147" s="16">
        <f t="shared" si="18"/>
        <v>109034.0329196643</v>
      </c>
      <c r="M147" s="16">
        <f t="shared" si="19"/>
        <v>91602.917841374976</v>
      </c>
    </row>
    <row r="148" spans="1:13" ht="15">
      <c r="A148" s="17">
        <v>121</v>
      </c>
      <c r="B148" s="15">
        <f t="shared" si="11"/>
        <v>337.08481110194475</v>
      </c>
      <c r="C148" s="15">
        <f t="shared" si="12"/>
        <v>895.44783470933453</v>
      </c>
      <c r="D148" s="15">
        <f t="shared" si="13"/>
        <v>164976.36159677518</v>
      </c>
      <c r="E148" s="16">
        <f t="shared" si="14"/>
        <v>30023.638403224799</v>
      </c>
      <c r="F148" s="16">
        <f t="shared" si="15"/>
        <v>119112.81173993998</v>
      </c>
      <c r="G148" s="1"/>
      <c r="H148" s="17">
        <v>121</v>
      </c>
      <c r="I148" s="15">
        <f t="shared" si="16"/>
        <v>1224.2351777985787</v>
      </c>
      <c r="J148" s="15">
        <f t="shared" si="10"/>
        <v>447.73941187674825</v>
      </c>
      <c r="K148" s="15">
        <f t="shared" si="17"/>
        <v>84741.731902537096</v>
      </c>
      <c r="L148" s="16">
        <f t="shared" si="18"/>
        <v>110258.26809746287</v>
      </c>
      <c r="M148" s="16">
        <f t="shared" si="19"/>
        <v>92050.657253251731</v>
      </c>
    </row>
    <row r="149" spans="1:13" ht="15">
      <c r="A149" s="17">
        <v>122</v>
      </c>
      <c r="B149" s="15">
        <f t="shared" si="11"/>
        <v>338.91068716208031</v>
      </c>
      <c r="C149" s="15">
        <f t="shared" si="12"/>
        <v>893.62195864919897</v>
      </c>
      <c r="D149" s="15">
        <f t="shared" si="13"/>
        <v>164637.45090961311</v>
      </c>
      <c r="E149" s="16">
        <f t="shared" si="14"/>
        <v>30362.549090386878</v>
      </c>
      <c r="F149" s="16">
        <f t="shared" si="15"/>
        <v>120006.43369858917</v>
      </c>
      <c r="G149" s="1"/>
      <c r="H149" s="17">
        <v>122</v>
      </c>
      <c r="I149" s="15">
        <f t="shared" si="16"/>
        <v>1230.6114026829462</v>
      </c>
      <c r="J149" s="15">
        <f t="shared" si="10"/>
        <v>441.36318699238069</v>
      </c>
      <c r="K149" s="15">
        <f t="shared" si="17"/>
        <v>83511.120499854151</v>
      </c>
      <c r="L149" s="16">
        <f t="shared" si="18"/>
        <v>111488.87950014582</v>
      </c>
      <c r="M149" s="16">
        <f t="shared" si="19"/>
        <v>92492.020440244116</v>
      </c>
    </row>
    <row r="150" spans="1:13" ht="15">
      <c r="A150" s="17">
        <v>123</v>
      </c>
      <c r="B150" s="15">
        <f t="shared" si="11"/>
        <v>340.74645338420828</v>
      </c>
      <c r="C150" s="15">
        <f t="shared" si="12"/>
        <v>891.786192427071</v>
      </c>
      <c r="D150" s="15">
        <f t="shared" si="13"/>
        <v>164296.70445622891</v>
      </c>
      <c r="E150" s="16">
        <f t="shared" si="14"/>
        <v>30703.295543771084</v>
      </c>
      <c r="F150" s="16">
        <f t="shared" si="15"/>
        <v>120898.21989101624</v>
      </c>
      <c r="G150" s="1"/>
      <c r="H150" s="17">
        <v>123</v>
      </c>
      <c r="I150" s="15">
        <f t="shared" si="16"/>
        <v>1237.0208370719197</v>
      </c>
      <c r="J150" s="15">
        <f t="shared" si="10"/>
        <v>434.953752603407</v>
      </c>
      <c r="K150" s="15">
        <f t="shared" si="17"/>
        <v>82274.099662782231</v>
      </c>
      <c r="L150" s="16">
        <f t="shared" si="18"/>
        <v>112725.90033721774</v>
      </c>
      <c r="M150" s="16">
        <f t="shared" si="19"/>
        <v>92926.974192847527</v>
      </c>
    </row>
    <row r="151" spans="1:13" ht="15">
      <c r="A151" s="17">
        <v>124</v>
      </c>
      <c r="B151" s="15">
        <f t="shared" si="11"/>
        <v>342.59216334003929</v>
      </c>
      <c r="C151" s="15">
        <f t="shared" si="12"/>
        <v>889.94048247123999</v>
      </c>
      <c r="D151" s="15">
        <f t="shared" si="13"/>
        <v>163954.11229288887</v>
      </c>
      <c r="E151" s="16">
        <f t="shared" si="14"/>
        <v>31045.887707111124</v>
      </c>
      <c r="F151" s="16">
        <f t="shared" si="15"/>
        <v>121788.16037348748</v>
      </c>
      <c r="G151" s="1"/>
      <c r="H151" s="17">
        <v>124</v>
      </c>
      <c r="I151" s="15">
        <f t="shared" si="16"/>
        <v>1243.4636539316693</v>
      </c>
      <c r="J151" s="15">
        <f t="shared" si="10"/>
        <v>428.51093574365746</v>
      </c>
      <c r="K151" s="15">
        <f t="shared" si="17"/>
        <v>81030.636008850561</v>
      </c>
      <c r="L151" s="16">
        <f t="shared" si="18"/>
        <v>113969.36399114941</v>
      </c>
      <c r="M151" s="16">
        <f t="shared" si="19"/>
        <v>93355.485128591186</v>
      </c>
    </row>
    <row r="152" spans="1:13" ht="15">
      <c r="A152" s="17">
        <v>125</v>
      </c>
      <c r="B152" s="15">
        <f t="shared" si="11"/>
        <v>344.44787089146462</v>
      </c>
      <c r="C152" s="15">
        <f t="shared" si="12"/>
        <v>888.08477491981466</v>
      </c>
      <c r="D152" s="15">
        <f t="shared" si="13"/>
        <v>163609.66442199741</v>
      </c>
      <c r="E152" s="16">
        <f t="shared" si="14"/>
        <v>31390.335578002589</v>
      </c>
      <c r="F152" s="16">
        <f t="shared" si="15"/>
        <v>122676.2451484073</v>
      </c>
      <c r="G152" s="1"/>
      <c r="H152" s="17">
        <v>125</v>
      </c>
      <c r="I152" s="15">
        <f t="shared" si="16"/>
        <v>1249.9400271292302</v>
      </c>
      <c r="J152" s="15">
        <f t="shared" si="10"/>
        <v>422.03456254609665</v>
      </c>
      <c r="K152" s="15">
        <f t="shared" si="17"/>
        <v>79780.695981721336</v>
      </c>
      <c r="L152" s="16">
        <f t="shared" si="18"/>
        <v>115219.30401827864</v>
      </c>
      <c r="M152" s="16">
        <f t="shared" si="19"/>
        <v>93777.519691137277</v>
      </c>
    </row>
    <row r="153" spans="1:13" ht="15">
      <c r="A153" s="17">
        <v>126</v>
      </c>
      <c r="B153" s="15">
        <f t="shared" si="11"/>
        <v>346.31363019212665</v>
      </c>
      <c r="C153" s="15">
        <f t="shared" si="12"/>
        <v>886.21901561915263</v>
      </c>
      <c r="D153" s="15">
        <f t="shared" si="13"/>
        <v>163263.35079180528</v>
      </c>
      <c r="E153" s="16">
        <f t="shared" si="14"/>
        <v>31736.649208194714</v>
      </c>
      <c r="F153" s="16">
        <f t="shared" si="15"/>
        <v>123562.46416402645</v>
      </c>
      <c r="G153" s="1"/>
      <c r="H153" s="17">
        <v>126</v>
      </c>
      <c r="I153" s="15">
        <f t="shared" si="16"/>
        <v>1256.4501314371948</v>
      </c>
      <c r="J153" s="15">
        <f t="shared" si="10"/>
        <v>415.52445823813196</v>
      </c>
      <c r="K153" s="15">
        <f t="shared" si="17"/>
        <v>78524.245850284147</v>
      </c>
      <c r="L153" s="16">
        <f t="shared" si="18"/>
        <v>116475.75414971582</v>
      </c>
      <c r="M153" s="16">
        <f t="shared" si="19"/>
        <v>94193.044149375404</v>
      </c>
    </row>
    <row r="154" spans="1:13" ht="15">
      <c r="A154" s="17">
        <v>127</v>
      </c>
      <c r="B154" s="15">
        <f t="shared" si="11"/>
        <v>348.18949568900064</v>
      </c>
      <c r="C154" s="15">
        <f t="shared" si="12"/>
        <v>884.34315012227864</v>
      </c>
      <c r="D154" s="15">
        <f t="shared" si="13"/>
        <v>162915.16129611628</v>
      </c>
      <c r="E154" s="16">
        <f t="shared" si="14"/>
        <v>32084.838703883714</v>
      </c>
      <c r="F154" s="16">
        <f t="shared" si="15"/>
        <v>124446.80731414873</v>
      </c>
      <c r="G154" s="1"/>
      <c r="H154" s="17">
        <v>127</v>
      </c>
      <c r="I154" s="15">
        <f t="shared" si="16"/>
        <v>1262.9941425384302</v>
      </c>
      <c r="J154" s="15">
        <f t="shared" si="10"/>
        <v>408.9804471368966</v>
      </c>
      <c r="K154" s="15">
        <f t="shared" si="17"/>
        <v>77261.251707745716</v>
      </c>
      <c r="L154" s="16">
        <f t="shared" si="18"/>
        <v>117738.74829225425</v>
      </c>
      <c r="M154" s="16">
        <f t="shared" si="19"/>
        <v>94602.024596512303</v>
      </c>
    </row>
    <row r="155" spans="1:13" ht="15">
      <c r="A155" s="17">
        <v>128</v>
      </c>
      <c r="B155" s="15">
        <f t="shared" si="11"/>
        <v>350.07552212398275</v>
      </c>
      <c r="C155" s="15">
        <f t="shared" si="12"/>
        <v>882.45712368729653</v>
      </c>
      <c r="D155" s="15">
        <f t="shared" si="13"/>
        <v>162565.08577399229</v>
      </c>
      <c r="E155" s="16">
        <f t="shared" si="14"/>
        <v>32434.914226007695</v>
      </c>
      <c r="F155" s="16">
        <f t="shared" si="15"/>
        <v>125329.26443783603</v>
      </c>
      <c r="G155" s="1"/>
      <c r="H155" s="17">
        <v>128</v>
      </c>
      <c r="I155" s="15">
        <f t="shared" si="16"/>
        <v>1269.5722370308179</v>
      </c>
      <c r="J155" s="15">
        <f t="shared" si="10"/>
        <v>402.40235264450894</v>
      </c>
      <c r="K155" s="15">
        <f t="shared" si="17"/>
        <v>75991.679470714895</v>
      </c>
      <c r="L155" s="16">
        <f t="shared" si="18"/>
        <v>119008.32052928508</v>
      </c>
      <c r="M155" s="16">
        <f t="shared" si="19"/>
        <v>95004.426949156812</v>
      </c>
    </row>
    <row r="156" spans="1:13" ht="15">
      <c r="A156" s="17">
        <v>129</v>
      </c>
      <c r="B156" s="15">
        <f t="shared" si="11"/>
        <v>351.97176453548764</v>
      </c>
      <c r="C156" s="15">
        <f t="shared" si="12"/>
        <v>880.56088127579164</v>
      </c>
      <c r="D156" s="15">
        <f t="shared" si="13"/>
        <v>162213.1140094568</v>
      </c>
      <c r="E156" s="16">
        <f t="shared" si="14"/>
        <v>32786.885990543182</v>
      </c>
      <c r="F156" s="16">
        <f t="shared" si="15"/>
        <v>126209.82531911181</v>
      </c>
      <c r="G156" s="1"/>
      <c r="H156" s="17">
        <v>129</v>
      </c>
      <c r="I156" s="15">
        <f t="shared" si="16"/>
        <v>1276.1845924320201</v>
      </c>
      <c r="J156" s="15">
        <f t="shared" si="10"/>
        <v>395.78999724330674</v>
      </c>
      <c r="K156" s="15">
        <f t="shared" si="17"/>
        <v>74715.494878282872</v>
      </c>
      <c r="L156" s="16">
        <f t="shared" si="18"/>
        <v>120284.5051217171</v>
      </c>
      <c r="M156" s="16">
        <f t="shared" si="19"/>
        <v>95400.21694640012</v>
      </c>
    </row>
    <row r="157" spans="1:13" ht="15">
      <c r="A157" s="17">
        <v>130</v>
      </c>
      <c r="B157" s="15">
        <f t="shared" si="11"/>
        <v>353.87827826005491</v>
      </c>
      <c r="C157" s="15">
        <f t="shared" si="12"/>
        <v>878.65436755122437</v>
      </c>
      <c r="D157" s="15">
        <f t="shared" si="13"/>
        <v>161859.23573119674</v>
      </c>
      <c r="E157" s="16">
        <f t="shared" si="14"/>
        <v>33140.764268803236</v>
      </c>
      <c r="F157" s="16">
        <f t="shared" si="15"/>
        <v>127088.47968666303</v>
      </c>
      <c r="G157" s="1"/>
      <c r="H157" s="17">
        <v>130</v>
      </c>
      <c r="I157" s="15">
        <f t="shared" si="16"/>
        <v>1282.8313871842702</v>
      </c>
      <c r="J157" s="15">
        <f t="shared" ref="J157:J220" si="20">SUM(K156*(RATE2/12))</f>
        <v>389.14320249105663</v>
      </c>
      <c r="K157" s="15">
        <f t="shared" si="17"/>
        <v>73432.663491098603</v>
      </c>
      <c r="L157" s="16">
        <f t="shared" si="18"/>
        <v>121567.33650890137</v>
      </c>
      <c r="M157" s="16">
        <f t="shared" si="19"/>
        <v>95789.360148891181</v>
      </c>
    </row>
    <row r="158" spans="1:13" ht="15">
      <c r="A158" s="17">
        <v>131</v>
      </c>
      <c r="B158" s="15">
        <f t="shared" ref="B158:B221" si="21">IF(D157&lt;=0,0,SUM($B$12-C158))</f>
        <v>355.79511893396364</v>
      </c>
      <c r="C158" s="15">
        <f t="shared" ref="C158:C221" si="22">SUM(D157*(RATE/12))</f>
        <v>876.73752687731564</v>
      </c>
      <c r="D158" s="15">
        <f t="shared" ref="D158:D221" si="23">IF(SUM(D157-B158-$B$14)&lt;=0,0,SUM(D157-B158-$B$14))</f>
        <v>161503.44061226278</v>
      </c>
      <c r="E158" s="16">
        <f t="shared" ref="E158:E221" si="24">IF($D157&lt;=0,0,SUM(B158,E157,$B$15))</f>
        <v>33496.559387737201</v>
      </c>
      <c r="F158" s="16">
        <f t="shared" ref="F158:F221" si="25">IF($D157&lt;=0,0,SUM(C158,F157))</f>
        <v>127965.21721354035</v>
      </c>
      <c r="G158" s="1"/>
      <c r="H158" s="17">
        <v>131</v>
      </c>
      <c r="I158" s="15">
        <f t="shared" ref="I158:I221" si="26">IF(K157&lt;=0,0,SUM($E$12-J158))</f>
        <v>1289.5128006591883</v>
      </c>
      <c r="J158" s="15">
        <f t="shared" si="20"/>
        <v>382.46178901613854</v>
      </c>
      <c r="K158" s="15">
        <f t="shared" ref="K158:K221" si="27">IF(SUM(K157-I158-$E$14)&lt;=0,0,SUM(K157-I158-$E$14))</f>
        <v>72143.150690439419</v>
      </c>
      <c r="L158" s="16">
        <f t="shared" ref="L158:L221" si="28">IF($K157&lt;=0,0,SUM(I158,L157,$E$14))</f>
        <v>122856.84930956055</v>
      </c>
      <c r="M158" s="16">
        <f t="shared" ref="M158:M221" si="29">IF($K157&lt;=0,0,SUM(J158,M157))</f>
        <v>96171.821937907313</v>
      </c>
    </row>
    <row r="159" spans="1:13" ht="15">
      <c r="A159" s="14" t="s">
        <v>41</v>
      </c>
      <c r="B159" s="15">
        <f t="shared" si="21"/>
        <v>357.72234249485587</v>
      </c>
      <c r="C159" s="15">
        <f t="shared" si="22"/>
        <v>874.81030331642341</v>
      </c>
      <c r="D159" s="15">
        <f t="shared" si="23"/>
        <v>161145.71826976794</v>
      </c>
      <c r="E159" s="16">
        <f t="shared" si="24"/>
        <v>33854.281730232055</v>
      </c>
      <c r="F159" s="16">
        <f t="shared" si="25"/>
        <v>128840.02751685678</v>
      </c>
      <c r="G159" s="1"/>
      <c r="H159" s="14" t="s">
        <v>41</v>
      </c>
      <c r="I159" s="15">
        <f t="shared" si="26"/>
        <v>1296.2290131626214</v>
      </c>
      <c r="J159" s="15">
        <f t="shared" si="20"/>
        <v>375.74557651270527</v>
      </c>
      <c r="K159" s="15">
        <f t="shared" si="27"/>
        <v>70846.921677276798</v>
      </c>
      <c r="L159" s="16">
        <f t="shared" si="28"/>
        <v>124153.07832272317</v>
      </c>
      <c r="M159" s="16">
        <f t="shared" si="29"/>
        <v>96547.567514420021</v>
      </c>
    </row>
    <row r="160" spans="1:13" ht="15">
      <c r="A160" s="17">
        <v>133</v>
      </c>
      <c r="B160" s="15">
        <f t="shared" si="21"/>
        <v>359.66000518336955</v>
      </c>
      <c r="C160" s="15">
        <f t="shared" si="22"/>
        <v>872.87264062790973</v>
      </c>
      <c r="D160" s="15">
        <f t="shared" si="23"/>
        <v>160786.05826458457</v>
      </c>
      <c r="E160" s="16">
        <f t="shared" si="24"/>
        <v>34213.941735415421</v>
      </c>
      <c r="F160" s="16">
        <f t="shared" si="25"/>
        <v>129712.90015748469</v>
      </c>
      <c r="G160" s="1"/>
      <c r="H160" s="17">
        <v>133</v>
      </c>
      <c r="I160" s="15">
        <f t="shared" si="26"/>
        <v>1302.9802059395101</v>
      </c>
      <c r="J160" s="15">
        <f t="shared" si="20"/>
        <v>368.99438373581665</v>
      </c>
      <c r="K160" s="15">
        <f t="shared" si="27"/>
        <v>69543.941471337283</v>
      </c>
      <c r="L160" s="16">
        <f t="shared" si="28"/>
        <v>125456.05852866269</v>
      </c>
      <c r="M160" s="16">
        <f t="shared" si="29"/>
        <v>96916.561898155836</v>
      </c>
    </row>
    <row r="161" spans="1:13" ht="15">
      <c r="A161" s="17">
        <v>134</v>
      </c>
      <c r="B161" s="15">
        <f t="shared" si="21"/>
        <v>361.60816354477947</v>
      </c>
      <c r="C161" s="15">
        <f t="shared" si="22"/>
        <v>870.92448226649981</v>
      </c>
      <c r="D161" s="15">
        <f t="shared" si="23"/>
        <v>160424.45010103978</v>
      </c>
      <c r="E161" s="16">
        <f t="shared" si="24"/>
        <v>34575.549898960198</v>
      </c>
      <c r="F161" s="16">
        <f t="shared" si="25"/>
        <v>130583.8246397512</v>
      </c>
      <c r="G161" s="1"/>
      <c r="H161" s="17">
        <v>134</v>
      </c>
      <c r="I161" s="15">
        <f t="shared" si="26"/>
        <v>1309.7665611787784</v>
      </c>
      <c r="J161" s="15">
        <f t="shared" si="20"/>
        <v>362.20802849654831</v>
      </c>
      <c r="K161" s="15">
        <f t="shared" si="27"/>
        <v>68234.174910158501</v>
      </c>
      <c r="L161" s="16">
        <f t="shared" si="28"/>
        <v>126765.82508984147</v>
      </c>
      <c r="M161" s="16">
        <f t="shared" si="29"/>
        <v>97278.769926652385</v>
      </c>
    </row>
    <row r="162" spans="1:13" ht="15">
      <c r="A162" s="17">
        <v>135</v>
      </c>
      <c r="B162" s="15">
        <f t="shared" si="21"/>
        <v>363.56687443064709</v>
      </c>
      <c r="C162" s="15">
        <f t="shared" si="22"/>
        <v>868.96577138063219</v>
      </c>
      <c r="D162" s="15">
        <f t="shared" si="23"/>
        <v>160060.88322660912</v>
      </c>
      <c r="E162" s="16">
        <f t="shared" si="24"/>
        <v>34939.116773390844</v>
      </c>
      <c r="F162" s="16">
        <f t="shared" si="25"/>
        <v>131452.79041113183</v>
      </c>
      <c r="G162" s="1"/>
      <c r="H162" s="17">
        <v>135</v>
      </c>
      <c r="I162" s="15">
        <f t="shared" si="26"/>
        <v>1316.5882620182513</v>
      </c>
      <c r="J162" s="15">
        <f t="shared" si="20"/>
        <v>355.38632765707553</v>
      </c>
      <c r="K162" s="15">
        <f t="shared" si="27"/>
        <v>66917.586648140248</v>
      </c>
      <c r="L162" s="16">
        <f t="shared" si="28"/>
        <v>128082.41335185972</v>
      </c>
      <c r="M162" s="16">
        <f t="shared" si="29"/>
        <v>97634.156254309462</v>
      </c>
    </row>
    <row r="163" spans="1:13" ht="15">
      <c r="A163" s="17">
        <v>136</v>
      </c>
      <c r="B163" s="15">
        <f t="shared" si="21"/>
        <v>365.53619500047989</v>
      </c>
      <c r="C163" s="15">
        <f t="shared" si="22"/>
        <v>866.99645081079939</v>
      </c>
      <c r="D163" s="15">
        <f t="shared" si="23"/>
        <v>159695.34703160863</v>
      </c>
      <c r="E163" s="16">
        <f t="shared" si="24"/>
        <v>35304.652968391325</v>
      </c>
      <c r="F163" s="16">
        <f t="shared" si="25"/>
        <v>132319.78686194264</v>
      </c>
      <c r="G163" s="1"/>
      <c r="H163" s="17">
        <v>136</v>
      </c>
      <c r="I163" s="15">
        <f t="shared" si="26"/>
        <v>1323.4454925495963</v>
      </c>
      <c r="J163" s="15">
        <f t="shared" si="20"/>
        <v>348.52909712573046</v>
      </c>
      <c r="K163" s="15">
        <f t="shared" si="27"/>
        <v>65594.141155590652</v>
      </c>
      <c r="L163" s="16">
        <f t="shared" si="28"/>
        <v>129405.85884440932</v>
      </c>
      <c r="M163" s="16">
        <f t="shared" si="29"/>
        <v>97982.685351435197</v>
      </c>
    </row>
    <row r="164" spans="1:13" ht="15">
      <c r="A164" s="17">
        <v>137</v>
      </c>
      <c r="B164" s="15">
        <f t="shared" si="21"/>
        <v>367.5161827233992</v>
      </c>
      <c r="C164" s="15">
        <f t="shared" si="22"/>
        <v>865.01646308788008</v>
      </c>
      <c r="D164" s="15">
        <f t="shared" si="23"/>
        <v>159327.83084888523</v>
      </c>
      <c r="E164" s="16">
        <f t="shared" si="24"/>
        <v>35672.169151114722</v>
      </c>
      <c r="F164" s="16">
        <f t="shared" si="25"/>
        <v>133184.80332503052</v>
      </c>
      <c r="G164" s="1"/>
      <c r="H164" s="17">
        <v>137</v>
      </c>
      <c r="I164" s="15">
        <f t="shared" si="26"/>
        <v>1330.3384378232922</v>
      </c>
      <c r="J164" s="15">
        <f t="shared" si="20"/>
        <v>341.63615185203463</v>
      </c>
      <c r="K164" s="15">
        <f t="shared" si="27"/>
        <v>64263.802717767358</v>
      </c>
      <c r="L164" s="16">
        <f t="shared" si="28"/>
        <v>130736.19728223261</v>
      </c>
      <c r="M164" s="16">
        <f t="shared" si="29"/>
        <v>98324.321503287225</v>
      </c>
    </row>
    <row r="165" spans="1:13" ht="15">
      <c r="A165" s="17">
        <v>138</v>
      </c>
      <c r="B165" s="15">
        <f t="shared" si="21"/>
        <v>369.50689537981759</v>
      </c>
      <c r="C165" s="15">
        <f t="shared" si="22"/>
        <v>863.02575043146169</v>
      </c>
      <c r="D165" s="15">
        <f t="shared" si="23"/>
        <v>158958.32395350543</v>
      </c>
      <c r="E165" s="16">
        <f t="shared" si="24"/>
        <v>36041.67604649454</v>
      </c>
      <c r="F165" s="16">
        <f t="shared" si="25"/>
        <v>134047.82907546198</v>
      </c>
      <c r="G165" s="1"/>
      <c r="H165" s="17">
        <v>138</v>
      </c>
      <c r="I165" s="15">
        <f t="shared" si="26"/>
        <v>1337.2672838536218</v>
      </c>
      <c r="J165" s="15">
        <f t="shared" si="20"/>
        <v>334.70730582170495</v>
      </c>
      <c r="K165" s="15">
        <f t="shared" si="27"/>
        <v>62926.535433913734</v>
      </c>
      <c r="L165" s="16">
        <f t="shared" si="28"/>
        <v>132073.46456608622</v>
      </c>
      <c r="M165" s="16">
        <f t="shared" si="29"/>
        <v>98659.028809108931</v>
      </c>
    </row>
    <row r="166" spans="1:13" ht="15">
      <c r="A166" s="17">
        <v>139</v>
      </c>
      <c r="B166" s="15">
        <f t="shared" si="21"/>
        <v>371.5083910631248</v>
      </c>
      <c r="C166" s="15">
        <f t="shared" si="22"/>
        <v>861.02425474815448</v>
      </c>
      <c r="D166" s="15">
        <f t="shared" si="23"/>
        <v>158586.81556244229</v>
      </c>
      <c r="E166" s="16">
        <f t="shared" si="24"/>
        <v>36413.184437557662</v>
      </c>
      <c r="F166" s="16">
        <f t="shared" si="25"/>
        <v>134908.85333021014</v>
      </c>
      <c r="G166" s="1"/>
      <c r="H166" s="17">
        <v>139</v>
      </c>
      <c r="I166" s="15">
        <f t="shared" si="26"/>
        <v>1344.2322176236928</v>
      </c>
      <c r="J166" s="15">
        <f t="shared" si="20"/>
        <v>327.74237205163399</v>
      </c>
      <c r="K166" s="15">
        <f t="shared" si="27"/>
        <v>61582.303216290042</v>
      </c>
      <c r="L166" s="16">
        <f t="shared" si="28"/>
        <v>133417.69678370992</v>
      </c>
      <c r="M166" s="16">
        <f t="shared" si="29"/>
        <v>98986.77118116057</v>
      </c>
    </row>
    <row r="167" spans="1:13" ht="15">
      <c r="A167" s="17">
        <v>140</v>
      </c>
      <c r="B167" s="15">
        <f t="shared" si="21"/>
        <v>373.52072818138345</v>
      </c>
      <c r="C167" s="15">
        <f t="shared" si="22"/>
        <v>859.01191762989583</v>
      </c>
      <c r="D167" s="15">
        <f t="shared" si="23"/>
        <v>158213.29483426092</v>
      </c>
      <c r="E167" s="16">
        <f t="shared" si="24"/>
        <v>36786.705165739048</v>
      </c>
      <c r="F167" s="16">
        <f t="shared" si="25"/>
        <v>135767.86524784003</v>
      </c>
      <c r="G167" s="1"/>
      <c r="H167" s="17">
        <v>140</v>
      </c>
      <c r="I167" s="15">
        <f t="shared" si="26"/>
        <v>1351.2334270904828</v>
      </c>
      <c r="J167" s="15">
        <f t="shared" si="20"/>
        <v>320.74116258484395</v>
      </c>
      <c r="K167" s="15">
        <f t="shared" si="27"/>
        <v>60231.069789199559</v>
      </c>
      <c r="L167" s="16">
        <f t="shared" si="28"/>
        <v>134768.9302108004</v>
      </c>
      <c r="M167" s="16">
        <f t="shared" si="29"/>
        <v>99307.512343745417</v>
      </c>
    </row>
    <row r="168" spans="1:13" ht="15">
      <c r="A168" s="17">
        <v>141</v>
      </c>
      <c r="B168" s="15">
        <f t="shared" si="21"/>
        <v>375.54396545903262</v>
      </c>
      <c r="C168" s="15">
        <f t="shared" si="22"/>
        <v>856.98868035224666</v>
      </c>
      <c r="D168" s="15">
        <f t="shared" si="23"/>
        <v>157837.75086880187</v>
      </c>
      <c r="E168" s="16">
        <f t="shared" si="24"/>
        <v>37162.249131198078</v>
      </c>
      <c r="F168" s="16">
        <f t="shared" si="25"/>
        <v>136624.85392819229</v>
      </c>
      <c r="G168" s="1"/>
      <c r="H168" s="17">
        <v>141</v>
      </c>
      <c r="I168" s="15">
        <f t="shared" si="26"/>
        <v>1358.2711011899123</v>
      </c>
      <c r="J168" s="15">
        <f t="shared" si="20"/>
        <v>313.70348848541437</v>
      </c>
      <c r="K168" s="15">
        <f t="shared" si="27"/>
        <v>58872.798688009643</v>
      </c>
      <c r="L168" s="16">
        <f t="shared" si="28"/>
        <v>136127.20131199033</v>
      </c>
      <c r="M168" s="16">
        <f t="shared" si="29"/>
        <v>99621.215832230824</v>
      </c>
    </row>
    <row r="169" spans="1:13" ht="15">
      <c r="A169" s="17">
        <v>142</v>
      </c>
      <c r="B169" s="15">
        <f t="shared" si="21"/>
        <v>377.57816193860242</v>
      </c>
      <c r="C169" s="15">
        <f t="shared" si="22"/>
        <v>854.95448387267686</v>
      </c>
      <c r="D169" s="15">
        <f t="shared" si="23"/>
        <v>157460.17270686326</v>
      </c>
      <c r="E169" s="16">
        <f t="shared" si="24"/>
        <v>37539.827293136681</v>
      </c>
      <c r="F169" s="16">
        <f t="shared" si="25"/>
        <v>137479.80841206497</v>
      </c>
      <c r="G169" s="1"/>
      <c r="H169" s="17">
        <v>142</v>
      </c>
      <c r="I169" s="15">
        <f t="shared" si="26"/>
        <v>1365.3454298419433</v>
      </c>
      <c r="J169" s="15">
        <f t="shared" si="20"/>
        <v>306.62915983338354</v>
      </c>
      <c r="K169" s="15">
        <f t="shared" si="27"/>
        <v>57507.453258167698</v>
      </c>
      <c r="L169" s="16">
        <f t="shared" si="28"/>
        <v>137492.54674183228</v>
      </c>
      <c r="M169" s="16">
        <f t="shared" si="29"/>
        <v>99927.844992064202</v>
      </c>
    </row>
    <row r="170" spans="1:13" ht="15">
      <c r="A170" s="17">
        <v>143</v>
      </c>
      <c r="B170" s="15">
        <f t="shared" si="21"/>
        <v>379.62337698243664</v>
      </c>
      <c r="C170" s="15">
        <f t="shared" si="22"/>
        <v>852.90926882884264</v>
      </c>
      <c r="D170" s="15">
        <f t="shared" si="23"/>
        <v>157080.54932988083</v>
      </c>
      <c r="E170" s="16">
        <f t="shared" si="24"/>
        <v>37919.45067011912</v>
      </c>
      <c r="F170" s="16">
        <f t="shared" si="25"/>
        <v>138332.71768089381</v>
      </c>
      <c r="G170" s="1"/>
      <c r="H170" s="17">
        <v>143</v>
      </c>
      <c r="I170" s="15">
        <f t="shared" si="26"/>
        <v>1372.4566039557035</v>
      </c>
      <c r="J170" s="15">
        <f t="shared" si="20"/>
        <v>299.51798571962343</v>
      </c>
      <c r="K170" s="15">
        <f t="shared" si="27"/>
        <v>56134.996654211995</v>
      </c>
      <c r="L170" s="16">
        <f t="shared" si="28"/>
        <v>138865.00334578799</v>
      </c>
      <c r="M170" s="16">
        <f t="shared" si="29"/>
        <v>100227.36297778382</v>
      </c>
    </row>
    <row r="171" spans="1:13" ht="15">
      <c r="A171" s="14" t="s">
        <v>42</v>
      </c>
      <c r="B171" s="15">
        <f t="shared" si="21"/>
        <v>381.67967027442478</v>
      </c>
      <c r="C171" s="15">
        <f t="shared" si="22"/>
        <v>850.8529755368545</v>
      </c>
      <c r="D171" s="15">
        <f t="shared" si="23"/>
        <v>156698.8696596064</v>
      </c>
      <c r="E171" s="16">
        <f t="shared" si="24"/>
        <v>38301.130340393545</v>
      </c>
      <c r="F171" s="16">
        <f t="shared" si="25"/>
        <v>139183.57065643067</v>
      </c>
      <c r="G171" s="1"/>
      <c r="H171" s="14" t="s">
        <v>42</v>
      </c>
      <c r="I171" s="15">
        <f t="shared" si="26"/>
        <v>1379.6048154346395</v>
      </c>
      <c r="J171" s="15">
        <f t="shared" si="20"/>
        <v>292.36977424068743</v>
      </c>
      <c r="K171" s="15">
        <f t="shared" si="27"/>
        <v>54755.391838777352</v>
      </c>
      <c r="L171" s="16">
        <f t="shared" si="28"/>
        <v>140244.60816122263</v>
      </c>
      <c r="M171" s="16">
        <f t="shared" si="29"/>
        <v>100519.7327520245</v>
      </c>
    </row>
    <row r="172" spans="1:13" ht="15">
      <c r="A172" s="17">
        <v>145</v>
      </c>
      <c r="B172" s="15">
        <f t="shared" si="21"/>
        <v>383.74710182174465</v>
      </c>
      <c r="C172" s="15">
        <f t="shared" si="22"/>
        <v>848.78554398953463</v>
      </c>
      <c r="D172" s="15">
        <f t="shared" si="23"/>
        <v>156315.12255778466</v>
      </c>
      <c r="E172" s="16">
        <f t="shared" si="24"/>
        <v>38684.877442215293</v>
      </c>
      <c r="F172" s="16">
        <f t="shared" si="25"/>
        <v>140032.35620042021</v>
      </c>
      <c r="G172" s="1"/>
      <c r="H172" s="17">
        <v>145</v>
      </c>
      <c r="I172" s="15">
        <f t="shared" si="26"/>
        <v>1386.7902571816949</v>
      </c>
      <c r="J172" s="15">
        <f t="shared" si="20"/>
        <v>285.18433249363204</v>
      </c>
      <c r="K172" s="15">
        <f t="shared" si="27"/>
        <v>53368.601581595656</v>
      </c>
      <c r="L172" s="16">
        <f t="shared" si="28"/>
        <v>141631.39841840431</v>
      </c>
      <c r="M172" s="16">
        <f t="shared" si="29"/>
        <v>100804.91708451814</v>
      </c>
    </row>
    <row r="173" spans="1:13" ht="15">
      <c r="A173" s="17">
        <v>146</v>
      </c>
      <c r="B173" s="15">
        <f t="shared" si="21"/>
        <v>385.82573195661234</v>
      </c>
      <c r="C173" s="15">
        <f t="shared" si="22"/>
        <v>846.70691385466694</v>
      </c>
      <c r="D173" s="15">
        <f t="shared" si="23"/>
        <v>155929.29682582806</v>
      </c>
      <c r="E173" s="16">
        <f t="shared" si="24"/>
        <v>39070.703174171904</v>
      </c>
      <c r="F173" s="16">
        <f t="shared" si="25"/>
        <v>140879.06311427488</v>
      </c>
      <c r="G173" s="1"/>
      <c r="H173" s="17">
        <v>146</v>
      </c>
      <c r="I173" s="15">
        <f t="shared" si="26"/>
        <v>1394.0131231045161</v>
      </c>
      <c r="J173" s="15">
        <f t="shared" si="20"/>
        <v>277.96146657081067</v>
      </c>
      <c r="K173" s="15">
        <f t="shared" si="27"/>
        <v>51974.58845849114</v>
      </c>
      <c r="L173" s="16">
        <f t="shared" si="28"/>
        <v>143025.41154150883</v>
      </c>
      <c r="M173" s="16">
        <f t="shared" si="29"/>
        <v>101082.87855108894</v>
      </c>
    </row>
    <row r="174" spans="1:13" ht="15">
      <c r="A174" s="17">
        <v>147</v>
      </c>
      <c r="B174" s="15">
        <f t="shared" si="21"/>
        <v>387.91562133804393</v>
      </c>
      <c r="C174" s="15">
        <f t="shared" si="22"/>
        <v>844.61702447323535</v>
      </c>
      <c r="D174" s="15">
        <f t="shared" si="23"/>
        <v>155541.38120449003</v>
      </c>
      <c r="E174" s="16">
        <f t="shared" si="24"/>
        <v>39458.618795509945</v>
      </c>
      <c r="F174" s="16">
        <f t="shared" si="25"/>
        <v>141723.68013874811</v>
      </c>
      <c r="G174" s="1"/>
      <c r="H174" s="17">
        <v>147</v>
      </c>
      <c r="I174" s="15">
        <f t="shared" si="26"/>
        <v>1401.2736081206854</v>
      </c>
      <c r="J174" s="15">
        <f t="shared" si="20"/>
        <v>270.70098155464132</v>
      </c>
      <c r="K174" s="15">
        <f t="shared" si="27"/>
        <v>50573.314850370458</v>
      </c>
      <c r="L174" s="16">
        <f t="shared" si="28"/>
        <v>144426.68514962951</v>
      </c>
      <c r="M174" s="16">
        <f t="shared" si="29"/>
        <v>101353.57953264359</v>
      </c>
    </row>
    <row r="175" spans="1:13" ht="15">
      <c r="A175" s="17">
        <v>148</v>
      </c>
      <c r="B175" s="15">
        <f t="shared" si="21"/>
        <v>390.01683095362489</v>
      </c>
      <c r="C175" s="15">
        <f t="shared" si="22"/>
        <v>842.51581485765439</v>
      </c>
      <c r="D175" s="15">
        <f t="shared" si="23"/>
        <v>155151.3643735364</v>
      </c>
      <c r="E175" s="16">
        <f t="shared" si="24"/>
        <v>39848.635626463569</v>
      </c>
      <c r="F175" s="16">
        <f t="shared" si="25"/>
        <v>142566.19595360575</v>
      </c>
      <c r="G175" s="1"/>
      <c r="H175" s="17">
        <v>148</v>
      </c>
      <c r="I175" s="15">
        <f t="shared" si="26"/>
        <v>1408.5719081629807</v>
      </c>
      <c r="J175" s="15">
        <f t="shared" si="20"/>
        <v>263.40268151234613</v>
      </c>
      <c r="K175" s="15">
        <f t="shared" si="27"/>
        <v>49164.742942207478</v>
      </c>
      <c r="L175" s="16">
        <f t="shared" si="28"/>
        <v>145835.25705779251</v>
      </c>
      <c r="M175" s="16">
        <f t="shared" si="29"/>
        <v>101616.98221415594</v>
      </c>
    </row>
    <row r="176" spans="1:13" ht="15">
      <c r="A176" s="17">
        <v>149</v>
      </c>
      <c r="B176" s="15">
        <f t="shared" si="21"/>
        <v>392.12942212129042</v>
      </c>
      <c r="C176" s="15">
        <f t="shared" si="22"/>
        <v>840.40322368998886</v>
      </c>
      <c r="D176" s="15">
        <f t="shared" si="23"/>
        <v>154759.2349514151</v>
      </c>
      <c r="E176" s="16">
        <f t="shared" si="24"/>
        <v>40240.765048584857</v>
      </c>
      <c r="F176" s="16">
        <f t="shared" si="25"/>
        <v>143406.59917729575</v>
      </c>
      <c r="G176" s="1"/>
      <c r="H176" s="17">
        <v>149</v>
      </c>
      <c r="I176" s="15">
        <f t="shared" si="26"/>
        <v>1415.9082201846629</v>
      </c>
      <c r="J176" s="15">
        <f t="shared" si="20"/>
        <v>256.06636949066393</v>
      </c>
      <c r="K176" s="15">
        <f t="shared" si="27"/>
        <v>47748.834722022817</v>
      </c>
      <c r="L176" s="16">
        <f t="shared" si="28"/>
        <v>147251.16527797718</v>
      </c>
      <c r="M176" s="16">
        <f t="shared" si="29"/>
        <v>101873.04858364661</v>
      </c>
    </row>
    <row r="177" spans="1:13" ht="15">
      <c r="A177" s="17">
        <v>150</v>
      </c>
      <c r="B177" s="15">
        <f t="shared" si="21"/>
        <v>394.25345649111409</v>
      </c>
      <c r="C177" s="15">
        <f t="shared" si="22"/>
        <v>838.27918932016519</v>
      </c>
      <c r="D177" s="15">
        <f t="shared" si="23"/>
        <v>154364.981494924</v>
      </c>
      <c r="E177" s="16">
        <f t="shared" si="24"/>
        <v>40635.018505075968</v>
      </c>
      <c r="F177" s="16">
        <f t="shared" si="25"/>
        <v>144244.87836661591</v>
      </c>
      <c r="G177" s="1"/>
      <c r="H177" s="17">
        <v>150</v>
      </c>
      <c r="I177" s="15">
        <f t="shared" si="26"/>
        <v>1423.2827421647912</v>
      </c>
      <c r="J177" s="15">
        <f t="shared" si="20"/>
        <v>248.6918475105355</v>
      </c>
      <c r="K177" s="15">
        <f t="shared" si="27"/>
        <v>46325.551979858028</v>
      </c>
      <c r="L177" s="16">
        <f t="shared" si="28"/>
        <v>148674.44802014198</v>
      </c>
      <c r="M177" s="16">
        <f t="shared" si="29"/>
        <v>102121.74043115714</v>
      </c>
    </row>
    <row r="178" spans="1:13" ht="15">
      <c r="A178" s="17">
        <v>151</v>
      </c>
      <c r="B178" s="15">
        <f t="shared" si="21"/>
        <v>396.38899604710764</v>
      </c>
      <c r="C178" s="15">
        <f t="shared" si="22"/>
        <v>836.14364976417164</v>
      </c>
      <c r="D178" s="15">
        <f t="shared" si="23"/>
        <v>153968.59249887688</v>
      </c>
      <c r="E178" s="16">
        <f t="shared" si="24"/>
        <v>41031.407501123074</v>
      </c>
      <c r="F178" s="16">
        <f t="shared" si="25"/>
        <v>145081.0220163801</v>
      </c>
      <c r="G178" s="1"/>
      <c r="H178" s="17">
        <v>151</v>
      </c>
      <c r="I178" s="15">
        <f t="shared" si="26"/>
        <v>1430.6956731135663</v>
      </c>
      <c r="J178" s="15">
        <f t="shared" si="20"/>
        <v>241.27891656176055</v>
      </c>
      <c r="K178" s="15">
        <f t="shared" si="27"/>
        <v>44894.856306744463</v>
      </c>
      <c r="L178" s="16">
        <f t="shared" si="28"/>
        <v>150105.14369325555</v>
      </c>
      <c r="M178" s="16">
        <f t="shared" si="29"/>
        <v>102363.0193477189</v>
      </c>
    </row>
    <row r="179" spans="1:13" ht="15">
      <c r="A179" s="17">
        <v>152</v>
      </c>
      <c r="B179" s="15">
        <f t="shared" si="21"/>
        <v>398.53610310902945</v>
      </c>
      <c r="C179" s="15">
        <f t="shared" si="22"/>
        <v>833.99654270224983</v>
      </c>
      <c r="D179" s="15">
        <f t="shared" si="23"/>
        <v>153570.05639576784</v>
      </c>
      <c r="E179" s="16">
        <f t="shared" si="24"/>
        <v>41429.943604232103</v>
      </c>
      <c r="F179" s="16">
        <f t="shared" si="25"/>
        <v>145915.01855908235</v>
      </c>
      <c r="G179" s="1"/>
      <c r="H179" s="17">
        <v>152</v>
      </c>
      <c r="I179" s="15">
        <f t="shared" si="26"/>
        <v>1438.1472130776995</v>
      </c>
      <c r="J179" s="15">
        <f t="shared" si="20"/>
        <v>233.82737659762739</v>
      </c>
      <c r="K179" s="15">
        <f t="shared" si="27"/>
        <v>43456.709093666766</v>
      </c>
      <c r="L179" s="16">
        <f t="shared" si="28"/>
        <v>151543.29090633325</v>
      </c>
      <c r="M179" s="16">
        <f t="shared" si="29"/>
        <v>102596.84672431654</v>
      </c>
    </row>
    <row r="180" spans="1:13" ht="15">
      <c r="A180" s="17">
        <v>153</v>
      </c>
      <c r="B180" s="15">
        <f t="shared" si="21"/>
        <v>400.69484033420349</v>
      </c>
      <c r="C180" s="15">
        <f t="shared" si="22"/>
        <v>831.83780547707579</v>
      </c>
      <c r="D180" s="15">
        <f t="shared" si="23"/>
        <v>153169.36155543363</v>
      </c>
      <c r="E180" s="16">
        <f t="shared" si="24"/>
        <v>41830.638444566306</v>
      </c>
      <c r="F180" s="16">
        <f t="shared" si="25"/>
        <v>146746.85636455944</v>
      </c>
      <c r="G180" s="1"/>
      <c r="H180" s="17">
        <v>153</v>
      </c>
      <c r="I180" s="15">
        <f t="shared" si="26"/>
        <v>1445.6375631458125</v>
      </c>
      <c r="J180" s="15">
        <f t="shared" si="20"/>
        <v>226.33702652951439</v>
      </c>
      <c r="K180" s="15">
        <f t="shared" si="27"/>
        <v>42011.071530520952</v>
      </c>
      <c r="L180" s="16">
        <f t="shared" si="28"/>
        <v>152988.92846947905</v>
      </c>
      <c r="M180" s="16">
        <f t="shared" si="29"/>
        <v>102823.18375084604</v>
      </c>
    </row>
    <row r="181" spans="1:13" ht="15">
      <c r="A181" s="17">
        <v>154</v>
      </c>
      <c r="B181" s="15">
        <f t="shared" si="21"/>
        <v>402.86527071934711</v>
      </c>
      <c r="C181" s="15">
        <f t="shared" si="22"/>
        <v>829.66737509193217</v>
      </c>
      <c r="D181" s="15">
        <f t="shared" si="23"/>
        <v>152766.49628471429</v>
      </c>
      <c r="E181" s="16">
        <f t="shared" si="24"/>
        <v>42233.503715285653</v>
      </c>
      <c r="F181" s="16">
        <f t="shared" si="25"/>
        <v>147576.52373965137</v>
      </c>
      <c r="G181" s="1"/>
      <c r="H181" s="17">
        <v>154</v>
      </c>
      <c r="I181" s="15">
        <f t="shared" si="26"/>
        <v>1453.1669254538635</v>
      </c>
      <c r="J181" s="15">
        <f t="shared" si="20"/>
        <v>218.80766422146328</v>
      </c>
      <c r="K181" s="15">
        <f t="shared" si="27"/>
        <v>40557.904605067088</v>
      </c>
      <c r="L181" s="16">
        <f t="shared" si="28"/>
        <v>154442.09539493293</v>
      </c>
      <c r="M181" s="16">
        <f t="shared" si="29"/>
        <v>103041.9914150675</v>
      </c>
    </row>
    <row r="182" spans="1:13" ht="15">
      <c r="A182" s="17">
        <v>155</v>
      </c>
      <c r="B182" s="15">
        <f t="shared" si="21"/>
        <v>405.04745760241019</v>
      </c>
      <c r="C182" s="15">
        <f t="shared" si="22"/>
        <v>827.48518820886909</v>
      </c>
      <c r="D182" s="15">
        <f t="shared" si="23"/>
        <v>152361.44882711189</v>
      </c>
      <c r="E182" s="16">
        <f t="shared" si="24"/>
        <v>42638.551172888067</v>
      </c>
      <c r="F182" s="16">
        <f t="shared" si="25"/>
        <v>148404.00892786024</v>
      </c>
      <c r="G182" s="1"/>
      <c r="H182" s="17">
        <v>155</v>
      </c>
      <c r="I182" s="15">
        <f t="shared" si="26"/>
        <v>1460.7355031906025</v>
      </c>
      <c r="J182" s="15">
        <f t="shared" si="20"/>
        <v>211.2390864847244</v>
      </c>
      <c r="K182" s="15">
        <f t="shared" si="27"/>
        <v>39097.169101876483</v>
      </c>
      <c r="L182" s="16">
        <f t="shared" si="28"/>
        <v>155902.83089812353</v>
      </c>
      <c r="M182" s="16">
        <f t="shared" si="29"/>
        <v>103253.23050155223</v>
      </c>
    </row>
    <row r="183" spans="1:13" ht="15">
      <c r="A183" s="14" t="s">
        <v>43</v>
      </c>
      <c r="B183" s="15">
        <f t="shared" si="21"/>
        <v>407.24146466442323</v>
      </c>
      <c r="C183" s="15">
        <f t="shared" si="22"/>
        <v>825.29118114685605</v>
      </c>
      <c r="D183" s="15">
        <f t="shared" si="23"/>
        <v>151954.20736244746</v>
      </c>
      <c r="E183" s="16">
        <f t="shared" si="24"/>
        <v>43045.792637552491</v>
      </c>
      <c r="F183" s="16">
        <f t="shared" si="25"/>
        <v>149229.3001090071</v>
      </c>
      <c r="G183" s="1"/>
      <c r="H183" s="14" t="s">
        <v>43</v>
      </c>
      <c r="I183" s="15">
        <f t="shared" si="26"/>
        <v>1468.3435006030534</v>
      </c>
      <c r="J183" s="15">
        <f t="shared" si="20"/>
        <v>203.63108907227334</v>
      </c>
      <c r="K183" s="15">
        <f t="shared" si="27"/>
        <v>37628.825601273427</v>
      </c>
      <c r="L183" s="16">
        <f t="shared" si="28"/>
        <v>157371.17439872658</v>
      </c>
      <c r="M183" s="16">
        <f t="shared" si="29"/>
        <v>103456.8615906245</v>
      </c>
    </row>
    <row r="184" spans="1:13" ht="15">
      <c r="A184" s="17">
        <v>157</v>
      </c>
      <c r="B184" s="15">
        <f t="shared" si="21"/>
        <v>409.44735593135556</v>
      </c>
      <c r="C184" s="15">
        <f t="shared" si="22"/>
        <v>823.08528987992372</v>
      </c>
      <c r="D184" s="15">
        <f t="shared" si="23"/>
        <v>151544.7600065161</v>
      </c>
      <c r="E184" s="16">
        <f t="shared" si="24"/>
        <v>43455.239993483847</v>
      </c>
      <c r="F184" s="16">
        <f t="shared" si="25"/>
        <v>150052.38539888704</v>
      </c>
      <c r="G184" s="1"/>
      <c r="H184" s="17">
        <v>157</v>
      </c>
      <c r="I184" s="15">
        <f t="shared" si="26"/>
        <v>1475.9911230020277</v>
      </c>
      <c r="J184" s="15">
        <f t="shared" si="20"/>
        <v>195.98346667329909</v>
      </c>
      <c r="K184" s="15">
        <f t="shared" si="27"/>
        <v>36152.834478271398</v>
      </c>
      <c r="L184" s="16">
        <f t="shared" si="28"/>
        <v>158847.1655217286</v>
      </c>
      <c r="M184" s="16">
        <f t="shared" si="29"/>
        <v>103652.84505729779</v>
      </c>
    </row>
    <row r="185" spans="1:13" ht="15">
      <c r="A185" s="17">
        <v>158</v>
      </c>
      <c r="B185" s="15">
        <f t="shared" si="21"/>
        <v>411.66519577598376</v>
      </c>
      <c r="C185" s="15">
        <f t="shared" si="22"/>
        <v>820.86745003529552</v>
      </c>
      <c r="D185" s="15">
        <f t="shared" si="23"/>
        <v>151133.09481074012</v>
      </c>
      <c r="E185" s="16">
        <f t="shared" si="24"/>
        <v>43866.905189259829</v>
      </c>
      <c r="F185" s="16">
        <f t="shared" si="25"/>
        <v>150873.25284892233</v>
      </c>
      <c r="G185" s="1"/>
      <c r="H185" s="17">
        <v>158</v>
      </c>
      <c r="I185" s="15">
        <f t="shared" si="26"/>
        <v>1483.6785767676633</v>
      </c>
      <c r="J185" s="15">
        <f t="shared" si="20"/>
        <v>188.29601290766351</v>
      </c>
      <c r="K185" s="15">
        <f t="shared" si="27"/>
        <v>34669.155901503735</v>
      </c>
      <c r="L185" s="16">
        <f t="shared" si="28"/>
        <v>160330.84409849628</v>
      </c>
      <c r="M185" s="16">
        <f t="shared" si="29"/>
        <v>103841.14107020546</v>
      </c>
    </row>
    <row r="186" spans="1:13" ht="15">
      <c r="A186" s="17">
        <v>159</v>
      </c>
      <c r="B186" s="15">
        <f t="shared" si="21"/>
        <v>413.89504891977026</v>
      </c>
      <c r="C186" s="15">
        <f t="shared" si="22"/>
        <v>818.63759689150902</v>
      </c>
      <c r="D186" s="15">
        <f t="shared" si="23"/>
        <v>150719.19976182035</v>
      </c>
      <c r="E186" s="16">
        <f t="shared" si="24"/>
        <v>44280.800238179596</v>
      </c>
      <c r="F186" s="16">
        <f t="shared" si="25"/>
        <v>151691.89044581383</v>
      </c>
      <c r="G186" s="1"/>
      <c r="H186" s="17">
        <v>159</v>
      </c>
      <c r="I186" s="15">
        <f t="shared" si="26"/>
        <v>1491.4060693549948</v>
      </c>
      <c r="J186" s="15">
        <f t="shared" si="20"/>
        <v>180.56852032033194</v>
      </c>
      <c r="K186" s="15">
        <f t="shared" si="27"/>
        <v>33177.749832148736</v>
      </c>
      <c r="L186" s="16">
        <f t="shared" si="28"/>
        <v>161822.25016785128</v>
      </c>
      <c r="M186" s="16">
        <f t="shared" si="29"/>
        <v>104021.70959052579</v>
      </c>
    </row>
    <row r="187" spans="1:13" ht="15">
      <c r="A187" s="17">
        <v>160</v>
      </c>
      <c r="B187" s="15">
        <f t="shared" si="21"/>
        <v>416.13698043475233</v>
      </c>
      <c r="C187" s="15">
        <f t="shared" si="22"/>
        <v>816.39566537652695</v>
      </c>
      <c r="D187" s="15">
        <f t="shared" si="23"/>
        <v>150303.06278138558</v>
      </c>
      <c r="E187" s="16">
        <f t="shared" si="24"/>
        <v>44696.937218614345</v>
      </c>
      <c r="F187" s="16">
        <f t="shared" si="25"/>
        <v>152508.28611119036</v>
      </c>
      <c r="G187" s="1"/>
      <c r="H187" s="17">
        <v>160</v>
      </c>
      <c r="I187" s="15">
        <f t="shared" si="26"/>
        <v>1499.1738092995522</v>
      </c>
      <c r="J187" s="15">
        <f t="shared" si="20"/>
        <v>172.80078037577465</v>
      </c>
      <c r="K187" s="15">
        <f t="shared" si="27"/>
        <v>31678.576022849185</v>
      </c>
      <c r="L187" s="16">
        <f t="shared" si="28"/>
        <v>163321.42397715084</v>
      </c>
      <c r="M187" s="16">
        <f t="shared" si="29"/>
        <v>104194.51037090157</v>
      </c>
    </row>
    <row r="188" spans="1:13" ht="15">
      <c r="A188" s="17">
        <v>161</v>
      </c>
      <c r="B188" s="15">
        <f t="shared" si="21"/>
        <v>418.39105574544067</v>
      </c>
      <c r="C188" s="15">
        <f t="shared" si="22"/>
        <v>814.14159006583861</v>
      </c>
      <c r="D188" s="15">
        <f t="shared" si="23"/>
        <v>149884.67172564013</v>
      </c>
      <c r="E188" s="16">
        <f t="shared" si="24"/>
        <v>45115.328274359788</v>
      </c>
      <c r="F188" s="16">
        <f t="shared" si="25"/>
        <v>153322.42770125621</v>
      </c>
      <c r="G188" s="1"/>
      <c r="H188" s="17">
        <v>161</v>
      </c>
      <c r="I188" s="15">
        <f t="shared" si="26"/>
        <v>1506.9820062229874</v>
      </c>
      <c r="J188" s="15">
        <f t="shared" si="20"/>
        <v>164.99258345233949</v>
      </c>
      <c r="K188" s="15">
        <f t="shared" si="27"/>
        <v>30171.594016626197</v>
      </c>
      <c r="L188" s="16">
        <f t="shared" si="28"/>
        <v>164828.40598337384</v>
      </c>
      <c r="M188" s="16">
        <f t="shared" si="29"/>
        <v>104359.50295435391</v>
      </c>
    </row>
    <row r="189" spans="1:13" ht="15">
      <c r="A189" s="17">
        <v>162</v>
      </c>
      <c r="B189" s="15">
        <f t="shared" si="21"/>
        <v>420.65734063072853</v>
      </c>
      <c r="C189" s="15">
        <f t="shared" si="22"/>
        <v>811.87530518055075</v>
      </c>
      <c r="D189" s="15">
        <f t="shared" si="23"/>
        <v>149464.01438500942</v>
      </c>
      <c r="E189" s="16">
        <f t="shared" si="24"/>
        <v>45535.985614990517</v>
      </c>
      <c r="F189" s="16">
        <f t="shared" si="25"/>
        <v>154134.30300643676</v>
      </c>
      <c r="G189" s="1"/>
      <c r="H189" s="17">
        <v>162</v>
      </c>
      <c r="I189" s="15">
        <f t="shared" si="26"/>
        <v>1514.8308708387322</v>
      </c>
      <c r="J189" s="15">
        <f t="shared" si="20"/>
        <v>157.14371883659476</v>
      </c>
      <c r="K189" s="15">
        <f t="shared" si="27"/>
        <v>28656.763145787467</v>
      </c>
      <c r="L189" s="16">
        <f t="shared" si="28"/>
        <v>166343.23685421256</v>
      </c>
      <c r="M189" s="16">
        <f t="shared" si="29"/>
        <v>104516.64667319051</v>
      </c>
    </row>
    <row r="190" spans="1:13" ht="15">
      <c r="A190" s="17">
        <v>163</v>
      </c>
      <c r="B190" s="15">
        <f t="shared" si="21"/>
        <v>422.93590122581156</v>
      </c>
      <c r="C190" s="15">
        <f t="shared" si="22"/>
        <v>809.59674458546772</v>
      </c>
      <c r="D190" s="15">
        <f t="shared" si="23"/>
        <v>149041.07848378361</v>
      </c>
      <c r="E190" s="16">
        <f t="shared" si="24"/>
        <v>45958.921516216331</v>
      </c>
      <c r="F190" s="16">
        <f t="shared" si="25"/>
        <v>154943.89975102223</v>
      </c>
      <c r="G190" s="1"/>
      <c r="H190" s="17">
        <v>163</v>
      </c>
      <c r="I190" s="15">
        <f t="shared" si="26"/>
        <v>1522.7206149576837</v>
      </c>
      <c r="J190" s="15">
        <f t="shared" si="20"/>
        <v>149.25397471764305</v>
      </c>
      <c r="K190" s="15">
        <f t="shared" si="27"/>
        <v>27134.042530829782</v>
      </c>
      <c r="L190" s="16">
        <f t="shared" si="28"/>
        <v>167865.95746917024</v>
      </c>
      <c r="M190" s="16">
        <f t="shared" si="29"/>
        <v>104665.90064790816</v>
      </c>
    </row>
    <row r="191" spans="1:13" ht="15">
      <c r="A191" s="17">
        <v>164</v>
      </c>
      <c r="B191" s="15">
        <f t="shared" si="21"/>
        <v>425.226804024118</v>
      </c>
      <c r="C191" s="15">
        <f t="shared" si="22"/>
        <v>807.30584178716128</v>
      </c>
      <c r="D191" s="15">
        <f t="shared" si="23"/>
        <v>148615.85167975948</v>
      </c>
      <c r="E191" s="16">
        <f t="shared" si="24"/>
        <v>46384.148320240449</v>
      </c>
      <c r="F191" s="16">
        <f t="shared" si="25"/>
        <v>155751.20559280939</v>
      </c>
      <c r="G191" s="1"/>
      <c r="H191" s="17">
        <v>164</v>
      </c>
      <c r="I191" s="15">
        <f t="shared" si="26"/>
        <v>1530.6514514939217</v>
      </c>
      <c r="J191" s="15">
        <f t="shared" si="20"/>
        <v>141.32313818140511</v>
      </c>
      <c r="K191" s="15">
        <f t="shared" si="27"/>
        <v>25603.391079335859</v>
      </c>
      <c r="L191" s="16">
        <f t="shared" si="28"/>
        <v>169396.60892066418</v>
      </c>
      <c r="M191" s="16">
        <f t="shared" si="29"/>
        <v>104807.22378608957</v>
      </c>
    </row>
    <row r="192" spans="1:13" ht="15">
      <c r="A192" s="17">
        <v>165</v>
      </c>
      <c r="B192" s="15">
        <f t="shared" si="21"/>
        <v>427.5301158792488</v>
      </c>
      <c r="C192" s="15">
        <f t="shared" si="22"/>
        <v>805.00252993203048</v>
      </c>
      <c r="D192" s="15">
        <f t="shared" si="23"/>
        <v>148188.32156388022</v>
      </c>
      <c r="E192" s="16">
        <f t="shared" si="24"/>
        <v>46811.678436119699</v>
      </c>
      <c r="F192" s="16">
        <f t="shared" si="25"/>
        <v>156556.20812274143</v>
      </c>
      <c r="G192" s="1"/>
      <c r="H192" s="17">
        <v>165</v>
      </c>
      <c r="I192" s="15">
        <f t="shared" si="26"/>
        <v>1538.6235944704526</v>
      </c>
      <c r="J192" s="15">
        <f t="shared" si="20"/>
        <v>133.35099520487427</v>
      </c>
      <c r="K192" s="15">
        <f t="shared" si="27"/>
        <v>24064.767484865406</v>
      </c>
      <c r="L192" s="16">
        <f t="shared" si="28"/>
        <v>170935.23251513462</v>
      </c>
      <c r="M192" s="16">
        <f t="shared" si="29"/>
        <v>104940.57478129445</v>
      </c>
    </row>
    <row r="193" spans="1:13" ht="15">
      <c r="A193" s="17">
        <v>166</v>
      </c>
      <c r="B193" s="15">
        <f>IF(D192&lt;=0,0,SUM($B$12-C193))</f>
        <v>429.84590400692809</v>
      </c>
      <c r="C193" s="15">
        <f>SUM(D192*(RATE/12))</f>
        <v>802.68674180435119</v>
      </c>
      <c r="D193" s="15">
        <f t="shared" si="23"/>
        <v>147758.47565987331</v>
      </c>
      <c r="E193" s="16">
        <f>IF($D192&lt;=0,0,SUM(B193,E192,$B$15))</f>
        <v>47241.524340126627</v>
      </c>
      <c r="F193" s="16">
        <f>IF($D192&lt;=0,0,SUM(C193,F192))</f>
        <v>157358.89486454579</v>
      </c>
      <c r="G193" s="1"/>
      <c r="H193" s="17">
        <v>166</v>
      </c>
      <c r="I193" s="15">
        <f t="shared" si="26"/>
        <v>1546.6372590249862</v>
      </c>
      <c r="J193" s="15">
        <f t="shared" si="20"/>
        <v>125.33733065034065</v>
      </c>
      <c r="K193" s="15">
        <f t="shared" si="27"/>
        <v>22518.130225840421</v>
      </c>
      <c r="L193" s="16">
        <f t="shared" si="28"/>
        <v>172481.8697741596</v>
      </c>
      <c r="M193" s="16">
        <f t="shared" si="29"/>
        <v>105065.91211194478</v>
      </c>
    </row>
    <row r="194" spans="1:13" ht="15">
      <c r="A194" s="17">
        <v>167</v>
      </c>
      <c r="B194" s="15">
        <f>IF(D193&lt;=0,0,SUM($B$12-C194))</f>
        <v>432.17423598696553</v>
      </c>
      <c r="C194" s="15">
        <f>SUM(D193*(RATE/12))</f>
        <v>800.35840982431375</v>
      </c>
      <c r="D194" s="15">
        <f t="shared" si="23"/>
        <v>147326.30142388635</v>
      </c>
      <c r="E194" s="16">
        <f>IF($D193&lt;=0,0,SUM(B194,E193,$B$15))</f>
        <v>47673.698576113595</v>
      </c>
      <c r="F194" s="16">
        <f>IF($D193&lt;=0,0,SUM(C194,F193))</f>
        <v>158159.2532743701</v>
      </c>
      <c r="G194" s="1"/>
      <c r="H194" s="17">
        <v>167</v>
      </c>
      <c r="I194" s="15">
        <f t="shared" si="26"/>
        <v>1554.6926614157412</v>
      </c>
      <c r="J194" s="15">
        <f t="shared" si="20"/>
        <v>117.28192825958553</v>
      </c>
      <c r="K194" s="15">
        <f t="shared" si="27"/>
        <v>20963.437564424679</v>
      </c>
      <c r="L194" s="16">
        <f t="shared" si="28"/>
        <v>174036.56243557532</v>
      </c>
      <c r="M194" s="16">
        <f t="shared" si="29"/>
        <v>105183.19404020437</v>
      </c>
    </row>
    <row r="195" spans="1:13" ht="15">
      <c r="A195" s="14" t="s">
        <v>44</v>
      </c>
      <c r="B195" s="15">
        <f t="shared" si="21"/>
        <v>434.51517976522814</v>
      </c>
      <c r="C195" s="15">
        <f t="shared" si="22"/>
        <v>798.01746604605114</v>
      </c>
      <c r="D195" s="15">
        <f t="shared" si="23"/>
        <v>146891.78624412112</v>
      </c>
      <c r="E195" s="16">
        <f t="shared" si="24"/>
        <v>48108.213755878824</v>
      </c>
      <c r="F195" s="16">
        <f t="shared" si="25"/>
        <v>158957.27074041616</v>
      </c>
      <c r="G195" s="1"/>
      <c r="H195" s="14" t="s">
        <v>44</v>
      </c>
      <c r="I195" s="15">
        <f t="shared" si="26"/>
        <v>1562.7900190272817</v>
      </c>
      <c r="J195" s="15">
        <f t="shared" si="20"/>
        <v>109.1845706480452</v>
      </c>
      <c r="K195" s="15">
        <f t="shared" si="27"/>
        <v>19400.647545397398</v>
      </c>
      <c r="L195" s="16">
        <f t="shared" si="28"/>
        <v>175599.3524546026</v>
      </c>
      <c r="M195" s="16">
        <f t="shared" si="29"/>
        <v>105292.37861085241</v>
      </c>
    </row>
    <row r="196" spans="1:13" ht="15">
      <c r="A196" s="17">
        <v>169</v>
      </c>
      <c r="B196" s="15">
        <f t="shared" si="21"/>
        <v>436.8688036556232</v>
      </c>
      <c r="C196" s="15">
        <f t="shared" si="22"/>
        <v>795.66384215565608</v>
      </c>
      <c r="D196" s="15">
        <f t="shared" si="23"/>
        <v>146454.91744046551</v>
      </c>
      <c r="E196" s="16">
        <f t="shared" si="24"/>
        <v>48545.08255953445</v>
      </c>
      <c r="F196" s="16">
        <f t="shared" si="25"/>
        <v>159752.93458257182</v>
      </c>
      <c r="G196" s="1"/>
      <c r="H196" s="17">
        <v>169</v>
      </c>
      <c r="I196" s="15">
        <f t="shared" si="26"/>
        <v>1570.9295503763819</v>
      </c>
      <c r="J196" s="15">
        <f t="shared" si="20"/>
        <v>101.04503929894477</v>
      </c>
      <c r="K196" s="15">
        <f t="shared" si="27"/>
        <v>17829.717995021016</v>
      </c>
      <c r="L196" s="16">
        <f t="shared" si="28"/>
        <v>177170.28200497897</v>
      </c>
      <c r="M196" s="16">
        <f t="shared" si="29"/>
        <v>105393.42365015135</v>
      </c>
    </row>
    <row r="197" spans="1:13" ht="15">
      <c r="A197" s="17">
        <v>170</v>
      </c>
      <c r="B197" s="15">
        <f t="shared" si="21"/>
        <v>439.23517634209111</v>
      </c>
      <c r="C197" s="15">
        <f t="shared" si="22"/>
        <v>793.29746946918817</v>
      </c>
      <c r="D197" s="15">
        <f t="shared" si="23"/>
        <v>146015.6822641234</v>
      </c>
      <c r="E197" s="16">
        <f t="shared" si="24"/>
        <v>48984.317735876539</v>
      </c>
      <c r="F197" s="16">
        <f t="shared" si="25"/>
        <v>160546.23205204101</v>
      </c>
      <c r="G197" s="1"/>
      <c r="H197" s="17">
        <v>170</v>
      </c>
      <c r="I197" s="15">
        <f t="shared" si="26"/>
        <v>1579.1114751179257</v>
      </c>
      <c r="J197" s="15">
        <f t="shared" si="20"/>
        <v>92.863114557401119</v>
      </c>
      <c r="K197" s="15">
        <f t="shared" si="27"/>
        <v>16250.606519903089</v>
      </c>
      <c r="L197" s="16">
        <f t="shared" si="28"/>
        <v>178749.39348009689</v>
      </c>
      <c r="M197" s="16">
        <f t="shared" si="29"/>
        <v>105486.28676470876</v>
      </c>
    </row>
    <row r="198" spans="1:13" ht="15">
      <c r="A198" s="17">
        <v>171</v>
      </c>
      <c r="B198" s="15">
        <f t="shared" si="21"/>
        <v>441.61436688061087</v>
      </c>
      <c r="C198" s="15">
        <f t="shared" si="22"/>
        <v>790.91827893066841</v>
      </c>
      <c r="D198" s="15">
        <f t="shared" si="23"/>
        <v>145574.06789724278</v>
      </c>
      <c r="E198" s="16">
        <f t="shared" si="24"/>
        <v>49425.93210275715</v>
      </c>
      <c r="F198" s="16">
        <f t="shared" si="25"/>
        <v>161337.15033097169</v>
      </c>
      <c r="G198" s="1"/>
      <c r="H198" s="17">
        <v>171</v>
      </c>
      <c r="I198" s="15">
        <f t="shared" si="26"/>
        <v>1587.3360140508316</v>
      </c>
      <c r="J198" s="15">
        <f t="shared" si="20"/>
        <v>84.638575624495246</v>
      </c>
      <c r="K198" s="15">
        <f t="shared" si="27"/>
        <v>14663.270505852257</v>
      </c>
      <c r="L198" s="16">
        <f t="shared" si="28"/>
        <v>180336.72949414773</v>
      </c>
      <c r="M198" s="16">
        <f t="shared" si="29"/>
        <v>105570.92534033326</v>
      </c>
    </row>
    <row r="199" spans="1:13" ht="15">
      <c r="A199" s="17">
        <v>172</v>
      </c>
      <c r="B199" s="15">
        <f t="shared" si="21"/>
        <v>444.00644470121415</v>
      </c>
      <c r="C199" s="15">
        <f t="shared" si="22"/>
        <v>788.52620111006513</v>
      </c>
      <c r="D199" s="15">
        <f t="shared" si="23"/>
        <v>145130.06145254156</v>
      </c>
      <c r="E199" s="16">
        <f t="shared" si="24"/>
        <v>49869.938547458361</v>
      </c>
      <c r="F199" s="16">
        <f t="shared" si="25"/>
        <v>162125.67653208176</v>
      </c>
      <c r="G199" s="1"/>
      <c r="H199" s="17">
        <v>172</v>
      </c>
      <c r="I199" s="15">
        <f t="shared" si="26"/>
        <v>1595.6033891240129</v>
      </c>
      <c r="J199" s="15">
        <f t="shared" si="20"/>
        <v>76.371200551313834</v>
      </c>
      <c r="K199" s="15">
        <f t="shared" si="27"/>
        <v>13067.667116728244</v>
      </c>
      <c r="L199" s="16">
        <f t="shared" si="28"/>
        <v>181932.33288327174</v>
      </c>
      <c r="M199" s="16">
        <f t="shared" si="29"/>
        <v>105647.29654088456</v>
      </c>
    </row>
    <row r="200" spans="1:13" ht="15">
      <c r="A200" s="17">
        <v>173</v>
      </c>
      <c r="B200" s="15">
        <f t="shared" si="21"/>
        <v>446.41147961001252</v>
      </c>
      <c r="C200" s="15">
        <f t="shared" si="22"/>
        <v>786.12116620126676</v>
      </c>
      <c r="D200" s="15">
        <f t="shared" si="23"/>
        <v>144683.64997293154</v>
      </c>
      <c r="E200" s="16">
        <f t="shared" si="24"/>
        <v>50316.350027068373</v>
      </c>
      <c r="F200" s="16">
        <f t="shared" si="25"/>
        <v>162911.79769828304</v>
      </c>
      <c r="G200" s="1"/>
      <c r="H200" s="17">
        <v>173</v>
      </c>
      <c r="I200" s="15">
        <f t="shared" si="26"/>
        <v>1603.9138234423672</v>
      </c>
      <c r="J200" s="15">
        <f t="shared" si="20"/>
        <v>68.060766232959594</v>
      </c>
      <c r="K200" s="15">
        <f t="shared" si="27"/>
        <v>11463.753293285878</v>
      </c>
      <c r="L200" s="16">
        <f t="shared" si="28"/>
        <v>183536.2467067141</v>
      </c>
      <c r="M200" s="16">
        <f t="shared" si="29"/>
        <v>105715.35730711752</v>
      </c>
    </row>
    <row r="201" spans="1:13" ht="15">
      <c r="A201" s="17">
        <v>174</v>
      </c>
      <c r="B201" s="15">
        <f t="shared" si="21"/>
        <v>448.8295417912334</v>
      </c>
      <c r="C201" s="15">
        <f t="shared" si="22"/>
        <v>783.70310402004588</v>
      </c>
      <c r="D201" s="15">
        <f t="shared" si="23"/>
        <v>144234.82043114031</v>
      </c>
      <c r="E201" s="16">
        <f t="shared" si="24"/>
        <v>50765.179568859603</v>
      </c>
      <c r="F201" s="16">
        <f t="shared" si="25"/>
        <v>163695.50080230308</v>
      </c>
      <c r="G201" s="1"/>
      <c r="H201" s="17">
        <v>174</v>
      </c>
      <c r="I201" s="15">
        <f t="shared" si="26"/>
        <v>1612.2675412727963</v>
      </c>
      <c r="J201" s="15">
        <f t="shared" si="20"/>
        <v>59.70704840253061</v>
      </c>
      <c r="K201" s="15">
        <f t="shared" si="27"/>
        <v>9851.4857520130809</v>
      </c>
      <c r="L201" s="16">
        <f t="shared" si="28"/>
        <v>185148.5142479869</v>
      </c>
      <c r="M201" s="16">
        <f t="shared" si="29"/>
        <v>105775.06435552005</v>
      </c>
    </row>
    <row r="202" spans="1:13" ht="15">
      <c r="A202" s="17">
        <v>175</v>
      </c>
      <c r="B202" s="15">
        <f t="shared" si="21"/>
        <v>451.26070180926922</v>
      </c>
      <c r="C202" s="15">
        <f t="shared" si="22"/>
        <v>781.27194400201006</v>
      </c>
      <c r="D202" s="15">
        <f t="shared" si="23"/>
        <v>143783.55972933103</v>
      </c>
      <c r="E202" s="16">
        <f t="shared" si="24"/>
        <v>51216.440270668871</v>
      </c>
      <c r="F202" s="16">
        <f t="shared" si="25"/>
        <v>164476.7727463051</v>
      </c>
      <c r="G202" s="1"/>
      <c r="H202" s="17">
        <v>175</v>
      </c>
      <c r="I202" s="15">
        <f t="shared" si="26"/>
        <v>1620.6647680502588</v>
      </c>
      <c r="J202" s="15">
        <f t="shared" si="20"/>
        <v>51.309821625068125</v>
      </c>
      <c r="K202" s="15">
        <f t="shared" si="27"/>
        <v>8230.8209839628216</v>
      </c>
      <c r="L202" s="16">
        <f t="shared" si="28"/>
        <v>186769.17901603715</v>
      </c>
      <c r="M202" s="16">
        <f t="shared" si="29"/>
        <v>105826.37417714512</v>
      </c>
    </row>
    <row r="203" spans="1:13" ht="15">
      <c r="A203" s="17">
        <v>176</v>
      </c>
      <c r="B203" s="15">
        <f t="shared" si="21"/>
        <v>453.70503061073623</v>
      </c>
      <c r="C203" s="15">
        <f t="shared" si="22"/>
        <v>778.82761520054305</v>
      </c>
      <c r="D203" s="15">
        <f t="shared" si="23"/>
        <v>143329.8546987203</v>
      </c>
      <c r="E203" s="16">
        <f t="shared" si="24"/>
        <v>51670.145301279605</v>
      </c>
      <c r="F203" s="16">
        <f t="shared" si="25"/>
        <v>165255.60036150564</v>
      </c>
      <c r="G203" s="1"/>
      <c r="H203" s="17">
        <v>176</v>
      </c>
      <c r="I203" s="15">
        <f t="shared" si="26"/>
        <v>1629.1057303838538</v>
      </c>
      <c r="J203" s="15">
        <f t="shared" si="20"/>
        <v>42.868859291473029</v>
      </c>
      <c r="K203" s="15">
        <f t="shared" si="27"/>
        <v>6601.7152535789683</v>
      </c>
      <c r="L203" s="16">
        <f t="shared" si="28"/>
        <v>188398.28474642101</v>
      </c>
      <c r="M203" s="16">
        <f t="shared" si="29"/>
        <v>105869.24303643659</v>
      </c>
    </row>
    <row r="204" spans="1:13" ht="15">
      <c r="A204" s="17">
        <v>177</v>
      </c>
      <c r="B204" s="15">
        <f t="shared" si="21"/>
        <v>456.16259952654434</v>
      </c>
      <c r="C204" s="15">
        <f t="shared" si="22"/>
        <v>776.37004628473494</v>
      </c>
      <c r="D204" s="15">
        <f t="shared" si="23"/>
        <v>142873.69209919375</v>
      </c>
      <c r="E204" s="16">
        <f t="shared" si="24"/>
        <v>52126.307900806147</v>
      </c>
      <c r="F204" s="16">
        <f t="shared" si="25"/>
        <v>166031.97040779039</v>
      </c>
      <c r="G204" s="1"/>
      <c r="H204" s="17">
        <v>177</v>
      </c>
      <c r="I204" s="15">
        <f t="shared" si="26"/>
        <v>1637.5906560629364</v>
      </c>
      <c r="J204" s="15">
        <f t="shared" si="20"/>
        <v>34.383933612390457</v>
      </c>
      <c r="K204" s="15">
        <f t="shared" si="27"/>
        <v>4964.1245975160318</v>
      </c>
      <c r="L204" s="16">
        <f t="shared" si="28"/>
        <v>190035.87540248394</v>
      </c>
      <c r="M204" s="16">
        <f t="shared" si="29"/>
        <v>105903.62697004898</v>
      </c>
    </row>
    <row r="205" spans="1:13" ht="15">
      <c r="A205" s="17">
        <v>178</v>
      </c>
      <c r="B205" s="15">
        <f t="shared" si="21"/>
        <v>458.63348027397979</v>
      </c>
      <c r="C205" s="15">
        <f t="shared" si="22"/>
        <v>773.8991655372995</v>
      </c>
      <c r="D205" s="15">
        <f t="shared" si="23"/>
        <v>142415.05861891978</v>
      </c>
      <c r="E205" s="16">
        <f t="shared" si="24"/>
        <v>52584.941381080127</v>
      </c>
      <c r="F205" s="16">
        <f t="shared" si="25"/>
        <v>166805.86957332768</v>
      </c>
      <c r="G205" s="1"/>
      <c r="H205" s="17">
        <v>178</v>
      </c>
      <c r="I205" s="15">
        <f t="shared" si="26"/>
        <v>1646.1197740632642</v>
      </c>
      <c r="J205" s="15">
        <f t="shared" si="20"/>
        <v>25.854815612062666</v>
      </c>
      <c r="K205" s="15">
        <f t="shared" si="27"/>
        <v>3318.0048234527676</v>
      </c>
      <c r="L205" s="16">
        <f t="shared" si="28"/>
        <v>191681.99517654721</v>
      </c>
      <c r="M205" s="16">
        <f t="shared" si="29"/>
        <v>105929.48178566105</v>
      </c>
    </row>
    <row r="206" spans="1:13" ht="15">
      <c r="A206" s="17">
        <v>179</v>
      </c>
      <c r="B206" s="15">
        <f t="shared" si="21"/>
        <v>461.11774495879718</v>
      </c>
      <c r="C206" s="15">
        <f t="shared" si="22"/>
        <v>771.41490085248211</v>
      </c>
      <c r="D206" s="15">
        <f t="shared" si="23"/>
        <v>141953.94087396099</v>
      </c>
      <c r="E206" s="16">
        <f t="shared" si="24"/>
        <v>53046.059126038926</v>
      </c>
      <c r="F206" s="16">
        <f t="shared" si="25"/>
        <v>167577.28447418017</v>
      </c>
      <c r="G206" s="1"/>
      <c r="H206" s="17">
        <v>179</v>
      </c>
      <c r="I206" s="15">
        <f t="shared" si="26"/>
        <v>1654.6933145531771</v>
      </c>
      <c r="J206" s="15">
        <f t="shared" si="20"/>
        <v>17.281275122149829</v>
      </c>
      <c r="K206" s="15">
        <f t="shared" si="27"/>
        <v>1663.3115088995905</v>
      </c>
      <c r="L206" s="16">
        <f t="shared" si="28"/>
        <v>193336.68849110039</v>
      </c>
      <c r="M206" s="16">
        <f t="shared" si="29"/>
        <v>105946.7630607832</v>
      </c>
    </row>
    <row r="207" spans="1:13" ht="15">
      <c r="A207" s="14" t="s">
        <v>45</v>
      </c>
      <c r="B207" s="15">
        <f t="shared" si="21"/>
        <v>463.61546607732384</v>
      </c>
      <c r="C207" s="15">
        <f t="shared" si="22"/>
        <v>768.91717973395544</v>
      </c>
      <c r="D207" s="15">
        <f t="shared" si="23"/>
        <v>141490.32540788368</v>
      </c>
      <c r="E207" s="16">
        <f t="shared" si="24"/>
        <v>53509.674592116251</v>
      </c>
      <c r="F207" s="16">
        <f t="shared" si="25"/>
        <v>168346.20165391412</v>
      </c>
      <c r="G207" s="1"/>
      <c r="H207" s="14" t="s">
        <v>45</v>
      </c>
      <c r="I207" s="15">
        <f t="shared" si="26"/>
        <v>1663.3115088998081</v>
      </c>
      <c r="J207" s="15">
        <f t="shared" si="20"/>
        <v>8.6630807755187007</v>
      </c>
      <c r="K207" s="15">
        <f t="shared" si="27"/>
        <v>0</v>
      </c>
      <c r="L207" s="16">
        <f t="shared" si="28"/>
        <v>195000.0000000002</v>
      </c>
      <c r="M207" s="16">
        <f t="shared" si="29"/>
        <v>105955.42614155871</v>
      </c>
    </row>
    <row r="208" spans="1:13" ht="15">
      <c r="A208" s="17">
        <v>181</v>
      </c>
      <c r="B208" s="15">
        <f t="shared" si="21"/>
        <v>466.12671651857602</v>
      </c>
      <c r="C208" s="15">
        <f t="shared" si="22"/>
        <v>766.40592929270326</v>
      </c>
      <c r="D208" s="15">
        <f t="shared" si="23"/>
        <v>141024.19869136511</v>
      </c>
      <c r="E208" s="16">
        <f t="shared" si="24"/>
        <v>53975.801308634829</v>
      </c>
      <c r="F208" s="16">
        <f t="shared" si="25"/>
        <v>169112.60758320682</v>
      </c>
      <c r="G208" s="1"/>
      <c r="H208" s="17">
        <v>181</v>
      </c>
      <c r="I208" s="15">
        <f t="shared" si="26"/>
        <v>0</v>
      </c>
      <c r="J208" s="15">
        <f t="shared" si="20"/>
        <v>0</v>
      </c>
      <c r="K208" s="15">
        <f t="shared" si="27"/>
        <v>0</v>
      </c>
      <c r="L208" s="16">
        <f t="shared" si="28"/>
        <v>0</v>
      </c>
      <c r="M208" s="16">
        <f t="shared" si="29"/>
        <v>0</v>
      </c>
    </row>
    <row r="209" spans="1:13" ht="15">
      <c r="A209" s="17">
        <v>182</v>
      </c>
      <c r="B209" s="15">
        <f t="shared" si="21"/>
        <v>468.65156956638498</v>
      </c>
      <c r="C209" s="15">
        <f t="shared" si="22"/>
        <v>763.8810762448943</v>
      </c>
      <c r="D209" s="15">
        <f t="shared" si="23"/>
        <v>140555.54712179871</v>
      </c>
      <c r="E209" s="16">
        <f t="shared" si="24"/>
        <v>54444.452878201213</v>
      </c>
      <c r="F209" s="16">
        <f t="shared" si="25"/>
        <v>169876.48865945172</v>
      </c>
      <c r="G209" s="1"/>
      <c r="H209" s="17">
        <v>182</v>
      </c>
      <c r="I209" s="15">
        <f t="shared" si="26"/>
        <v>0</v>
      </c>
      <c r="J209" s="15">
        <f t="shared" si="20"/>
        <v>0</v>
      </c>
      <c r="K209" s="15">
        <f t="shared" si="27"/>
        <v>0</v>
      </c>
      <c r="L209" s="16">
        <f t="shared" si="28"/>
        <v>0</v>
      </c>
      <c r="M209" s="16">
        <f t="shared" si="29"/>
        <v>0</v>
      </c>
    </row>
    <row r="210" spans="1:13" ht="15">
      <c r="A210" s="17">
        <v>183</v>
      </c>
      <c r="B210" s="15">
        <f t="shared" si="21"/>
        <v>471.1900989015362</v>
      </c>
      <c r="C210" s="15">
        <f t="shared" si="22"/>
        <v>761.34254690974308</v>
      </c>
      <c r="D210" s="15">
        <f t="shared" si="23"/>
        <v>140084.35702289717</v>
      </c>
      <c r="E210" s="16">
        <f t="shared" si="24"/>
        <v>54915.642977102747</v>
      </c>
      <c r="F210" s="16">
        <f t="shared" si="25"/>
        <v>170637.83120636147</v>
      </c>
      <c r="G210" s="1"/>
      <c r="H210" s="17">
        <v>183</v>
      </c>
      <c r="I210" s="15">
        <f t="shared" si="26"/>
        <v>0</v>
      </c>
      <c r="J210" s="15">
        <f t="shared" si="20"/>
        <v>0</v>
      </c>
      <c r="K210" s="15">
        <f t="shared" si="27"/>
        <v>0</v>
      </c>
      <c r="L210" s="16">
        <f t="shared" si="28"/>
        <v>0</v>
      </c>
      <c r="M210" s="16">
        <f t="shared" si="29"/>
        <v>0</v>
      </c>
    </row>
    <row r="211" spans="1:13" ht="15">
      <c r="A211" s="17">
        <v>184</v>
      </c>
      <c r="B211" s="15">
        <f t="shared" si="21"/>
        <v>473.74237860391963</v>
      </c>
      <c r="C211" s="15">
        <f t="shared" si="22"/>
        <v>758.79026720735965</v>
      </c>
      <c r="D211" s="15">
        <f t="shared" si="23"/>
        <v>139610.61464429324</v>
      </c>
      <c r="E211" s="16">
        <f t="shared" si="24"/>
        <v>55389.385355706669</v>
      </c>
      <c r="F211" s="16">
        <f t="shared" si="25"/>
        <v>171396.62147356884</v>
      </c>
      <c r="G211" s="1"/>
      <c r="H211" s="17">
        <v>184</v>
      </c>
      <c r="I211" s="15">
        <f t="shared" si="26"/>
        <v>0</v>
      </c>
      <c r="J211" s="15">
        <f t="shared" si="20"/>
        <v>0</v>
      </c>
      <c r="K211" s="15">
        <f t="shared" si="27"/>
        <v>0</v>
      </c>
      <c r="L211" s="16">
        <f t="shared" si="28"/>
        <v>0</v>
      </c>
      <c r="M211" s="16">
        <f t="shared" si="29"/>
        <v>0</v>
      </c>
    </row>
    <row r="212" spans="1:13" ht="15">
      <c r="A212" s="17">
        <v>185</v>
      </c>
      <c r="B212" s="15">
        <f t="shared" si="21"/>
        <v>476.30848315469086</v>
      </c>
      <c r="C212" s="15">
        <f t="shared" si="22"/>
        <v>756.22416265658842</v>
      </c>
      <c r="D212" s="15">
        <f t="shared" si="23"/>
        <v>139134.30616113855</v>
      </c>
      <c r="E212" s="16">
        <f t="shared" si="24"/>
        <v>55865.693838861356</v>
      </c>
      <c r="F212" s="16">
        <f t="shared" si="25"/>
        <v>172152.84563622542</v>
      </c>
      <c r="G212" s="1"/>
      <c r="H212" s="17">
        <v>185</v>
      </c>
      <c r="I212" s="15">
        <f t="shared" si="26"/>
        <v>0</v>
      </c>
      <c r="J212" s="15">
        <f t="shared" si="20"/>
        <v>0</v>
      </c>
      <c r="K212" s="15">
        <f t="shared" si="27"/>
        <v>0</v>
      </c>
      <c r="L212" s="16">
        <f t="shared" si="28"/>
        <v>0</v>
      </c>
      <c r="M212" s="16">
        <f t="shared" si="29"/>
        <v>0</v>
      </c>
    </row>
    <row r="213" spans="1:13" ht="15">
      <c r="A213" s="17">
        <v>186</v>
      </c>
      <c r="B213" s="15">
        <f t="shared" si="21"/>
        <v>478.8884874384454</v>
      </c>
      <c r="C213" s="15">
        <f t="shared" si="22"/>
        <v>753.64415837283389</v>
      </c>
      <c r="D213" s="15">
        <f t="shared" si="23"/>
        <v>138655.41767370011</v>
      </c>
      <c r="E213" s="16">
        <f t="shared" si="24"/>
        <v>56344.582326299802</v>
      </c>
      <c r="F213" s="16">
        <f t="shared" si="25"/>
        <v>172906.48979459825</v>
      </c>
      <c r="G213" s="1"/>
      <c r="H213" s="17">
        <v>186</v>
      </c>
      <c r="I213" s="15">
        <f t="shared" si="26"/>
        <v>0</v>
      </c>
      <c r="J213" s="15">
        <f t="shared" si="20"/>
        <v>0</v>
      </c>
      <c r="K213" s="15">
        <f t="shared" si="27"/>
        <v>0</v>
      </c>
      <c r="L213" s="16">
        <f t="shared" si="28"/>
        <v>0</v>
      </c>
      <c r="M213" s="16">
        <f t="shared" si="29"/>
        <v>0</v>
      </c>
    </row>
    <row r="214" spans="1:13" ht="15">
      <c r="A214" s="17">
        <v>187</v>
      </c>
      <c r="B214" s="15">
        <f t="shared" si="21"/>
        <v>481.4824667454036</v>
      </c>
      <c r="C214" s="15">
        <f t="shared" si="22"/>
        <v>751.05017906587568</v>
      </c>
      <c r="D214" s="15">
        <f t="shared" si="23"/>
        <v>138173.93520695472</v>
      </c>
      <c r="E214" s="16">
        <f t="shared" si="24"/>
        <v>56826.064793045203</v>
      </c>
      <c r="F214" s="16">
        <f t="shared" si="25"/>
        <v>173657.53997366413</v>
      </c>
      <c r="G214" s="1"/>
      <c r="H214" s="17">
        <v>187</v>
      </c>
      <c r="I214" s="15">
        <f t="shared" si="26"/>
        <v>0</v>
      </c>
      <c r="J214" s="15">
        <f t="shared" si="20"/>
        <v>0</v>
      </c>
      <c r="K214" s="15">
        <f t="shared" si="27"/>
        <v>0</v>
      </c>
      <c r="L214" s="16">
        <f t="shared" si="28"/>
        <v>0</v>
      </c>
      <c r="M214" s="16">
        <f t="shared" si="29"/>
        <v>0</v>
      </c>
    </row>
    <row r="215" spans="1:13" ht="15">
      <c r="A215" s="17">
        <v>188</v>
      </c>
      <c r="B215" s="15">
        <f t="shared" si="21"/>
        <v>484.09049677360792</v>
      </c>
      <c r="C215" s="15">
        <f t="shared" si="22"/>
        <v>748.44214903767136</v>
      </c>
      <c r="D215" s="15">
        <f t="shared" si="23"/>
        <v>137689.84471018112</v>
      </c>
      <c r="E215" s="16">
        <f t="shared" si="24"/>
        <v>57310.155289818809</v>
      </c>
      <c r="F215" s="16">
        <f t="shared" si="25"/>
        <v>174405.9821227018</v>
      </c>
      <c r="G215" s="1"/>
      <c r="H215" s="17">
        <v>188</v>
      </c>
      <c r="I215" s="15">
        <f t="shared" si="26"/>
        <v>0</v>
      </c>
      <c r="J215" s="15">
        <f t="shared" si="20"/>
        <v>0</v>
      </c>
      <c r="K215" s="15">
        <f t="shared" si="27"/>
        <v>0</v>
      </c>
      <c r="L215" s="16">
        <f t="shared" si="28"/>
        <v>0</v>
      </c>
      <c r="M215" s="16">
        <f t="shared" si="29"/>
        <v>0</v>
      </c>
    </row>
    <row r="216" spans="1:13" ht="15">
      <c r="A216" s="17">
        <v>189</v>
      </c>
      <c r="B216" s="15">
        <f t="shared" si="21"/>
        <v>486.7126536311315</v>
      </c>
      <c r="C216" s="15">
        <f t="shared" si="22"/>
        <v>745.81999218014778</v>
      </c>
      <c r="D216" s="15">
        <f t="shared" si="23"/>
        <v>137203.13205654998</v>
      </c>
      <c r="E216" s="16">
        <f t="shared" si="24"/>
        <v>57796.867943449943</v>
      </c>
      <c r="F216" s="16">
        <f t="shared" si="25"/>
        <v>175151.80211488195</v>
      </c>
      <c r="G216" s="1"/>
      <c r="H216" s="17">
        <v>189</v>
      </c>
      <c r="I216" s="15">
        <f t="shared" si="26"/>
        <v>0</v>
      </c>
      <c r="J216" s="15">
        <f t="shared" si="20"/>
        <v>0</v>
      </c>
      <c r="K216" s="15">
        <f t="shared" si="27"/>
        <v>0</v>
      </c>
      <c r="L216" s="16">
        <f t="shared" si="28"/>
        <v>0</v>
      </c>
      <c r="M216" s="16">
        <f t="shared" si="29"/>
        <v>0</v>
      </c>
    </row>
    <row r="217" spans="1:13" ht="15">
      <c r="A217" s="17">
        <v>190</v>
      </c>
      <c r="B217" s="15">
        <f t="shared" si="21"/>
        <v>489.34901383830027</v>
      </c>
      <c r="C217" s="15">
        <f t="shared" si="22"/>
        <v>743.18363197297901</v>
      </c>
      <c r="D217" s="15">
        <f t="shared" si="23"/>
        <v>136713.78304271167</v>
      </c>
      <c r="E217" s="16">
        <f t="shared" si="24"/>
        <v>58286.216957288241</v>
      </c>
      <c r="F217" s="16">
        <f t="shared" si="25"/>
        <v>175894.98574685495</v>
      </c>
      <c r="G217" s="1"/>
      <c r="H217" s="17">
        <v>190</v>
      </c>
      <c r="I217" s="15">
        <f t="shared" si="26"/>
        <v>0</v>
      </c>
      <c r="J217" s="15">
        <f t="shared" si="20"/>
        <v>0</v>
      </c>
      <c r="K217" s="15">
        <f t="shared" si="27"/>
        <v>0</v>
      </c>
      <c r="L217" s="16">
        <f t="shared" si="28"/>
        <v>0</v>
      </c>
      <c r="M217" s="16">
        <f t="shared" si="29"/>
        <v>0</v>
      </c>
    </row>
    <row r="218" spans="1:13" ht="15">
      <c r="A218" s="17">
        <v>191</v>
      </c>
      <c r="B218" s="15">
        <f t="shared" si="21"/>
        <v>491.9996543299244</v>
      </c>
      <c r="C218" s="15">
        <f t="shared" si="22"/>
        <v>740.53299148135488</v>
      </c>
      <c r="D218" s="15">
        <f t="shared" si="23"/>
        <v>136221.78338838174</v>
      </c>
      <c r="E218" s="16">
        <f t="shared" si="24"/>
        <v>58778.216611618169</v>
      </c>
      <c r="F218" s="16">
        <f t="shared" si="25"/>
        <v>176635.51873833631</v>
      </c>
      <c r="G218" s="1"/>
      <c r="H218" s="17">
        <v>191</v>
      </c>
      <c r="I218" s="15">
        <f t="shared" si="26"/>
        <v>0</v>
      </c>
      <c r="J218" s="15">
        <f t="shared" si="20"/>
        <v>0</v>
      </c>
      <c r="K218" s="15">
        <f t="shared" si="27"/>
        <v>0</v>
      </c>
      <c r="L218" s="16">
        <f t="shared" si="28"/>
        <v>0</v>
      </c>
      <c r="M218" s="16">
        <f t="shared" si="29"/>
        <v>0</v>
      </c>
    </row>
    <row r="219" spans="1:13" ht="15">
      <c r="A219" s="14" t="s">
        <v>46</v>
      </c>
      <c r="B219" s="15">
        <f t="shared" si="21"/>
        <v>494.66465245754489</v>
      </c>
      <c r="C219" s="15">
        <f t="shared" si="22"/>
        <v>737.86799335373439</v>
      </c>
      <c r="D219" s="15">
        <f t="shared" si="23"/>
        <v>135727.11873592419</v>
      </c>
      <c r="E219" s="16">
        <f t="shared" si="24"/>
        <v>59272.881264075717</v>
      </c>
      <c r="F219" s="16">
        <f t="shared" si="25"/>
        <v>177373.38673169003</v>
      </c>
      <c r="G219" s="1"/>
      <c r="H219" s="14" t="s">
        <v>46</v>
      </c>
      <c r="I219" s="15">
        <f t="shared" si="26"/>
        <v>0</v>
      </c>
      <c r="J219" s="15">
        <f t="shared" si="20"/>
        <v>0</v>
      </c>
      <c r="K219" s="15">
        <f t="shared" si="27"/>
        <v>0</v>
      </c>
      <c r="L219" s="16">
        <f t="shared" si="28"/>
        <v>0</v>
      </c>
      <c r="M219" s="16">
        <f t="shared" si="29"/>
        <v>0</v>
      </c>
    </row>
    <row r="220" spans="1:13" ht="15">
      <c r="A220" s="17">
        <v>193</v>
      </c>
      <c r="B220" s="15">
        <f t="shared" si="21"/>
        <v>497.34408599168989</v>
      </c>
      <c r="C220" s="15">
        <f t="shared" si="22"/>
        <v>735.18855981958939</v>
      </c>
      <c r="D220" s="15">
        <f t="shared" si="23"/>
        <v>135229.77464993249</v>
      </c>
      <c r="E220" s="16">
        <f t="shared" si="24"/>
        <v>59770.225350067405</v>
      </c>
      <c r="F220" s="16">
        <f t="shared" si="25"/>
        <v>178108.57529150962</v>
      </c>
      <c r="G220" s="1"/>
      <c r="H220" s="17">
        <v>193</v>
      </c>
      <c r="I220" s="15">
        <f t="shared" si="26"/>
        <v>0</v>
      </c>
      <c r="J220" s="15">
        <f t="shared" si="20"/>
        <v>0</v>
      </c>
      <c r="K220" s="15">
        <f t="shared" si="27"/>
        <v>0</v>
      </c>
      <c r="L220" s="16">
        <f t="shared" si="28"/>
        <v>0</v>
      </c>
      <c r="M220" s="16">
        <f t="shared" si="29"/>
        <v>0</v>
      </c>
    </row>
    <row r="221" spans="1:13" ht="15">
      <c r="A221" s="17">
        <v>194</v>
      </c>
      <c r="B221" s="15">
        <f t="shared" si="21"/>
        <v>500.03803312414493</v>
      </c>
      <c r="C221" s="15">
        <f t="shared" si="22"/>
        <v>732.49461268713435</v>
      </c>
      <c r="D221" s="15">
        <f t="shared" si="23"/>
        <v>134729.73661680834</v>
      </c>
      <c r="E221" s="16">
        <f t="shared" si="24"/>
        <v>60270.263383191552</v>
      </c>
      <c r="F221" s="16">
        <f t="shared" si="25"/>
        <v>178841.06990419675</v>
      </c>
      <c r="G221" s="1"/>
      <c r="H221" s="17">
        <v>194</v>
      </c>
      <c r="I221" s="15">
        <f t="shared" si="26"/>
        <v>0</v>
      </c>
      <c r="J221" s="15">
        <f t="shared" ref="J221:J284" si="30">SUM(K220*(RATE2/12))</f>
        <v>0</v>
      </c>
      <c r="K221" s="15">
        <f t="shared" si="27"/>
        <v>0</v>
      </c>
      <c r="L221" s="16">
        <f t="shared" si="28"/>
        <v>0</v>
      </c>
      <c r="M221" s="16">
        <f t="shared" si="29"/>
        <v>0</v>
      </c>
    </row>
    <row r="222" spans="1:13" ht="15">
      <c r="A222" s="17">
        <v>195</v>
      </c>
      <c r="B222" s="15">
        <f t="shared" ref="B222:B285" si="31">IF(D221&lt;=0,0,SUM($B$12-C222))</f>
        <v>502.74657247023413</v>
      </c>
      <c r="C222" s="15">
        <f t="shared" ref="C222:C285" si="32">SUM(D221*(RATE/12))</f>
        <v>729.78607334104515</v>
      </c>
      <c r="D222" s="15">
        <f t="shared" ref="D222:D285" si="33">IF(SUM(D221-B222-$B$14)&lt;=0,0,SUM(D221-B222-$B$14))</f>
        <v>134226.9900443381</v>
      </c>
      <c r="E222" s="16">
        <f t="shared" ref="E222:E285" si="34">IF($D221&lt;=0,0,SUM(B222,E221,$B$15))</f>
        <v>60773.009955661786</v>
      </c>
      <c r="F222" s="16">
        <f t="shared" ref="F222:F285" si="35">IF($D221&lt;=0,0,SUM(C222,F221))</f>
        <v>179570.85597753778</v>
      </c>
      <c r="G222" s="1"/>
      <c r="H222" s="17">
        <v>195</v>
      </c>
      <c r="I222" s="15">
        <f t="shared" ref="I222:I285" si="36">IF(K221&lt;=0,0,SUM($E$12-J222))</f>
        <v>0</v>
      </c>
      <c r="J222" s="15">
        <f t="shared" si="30"/>
        <v>0</v>
      </c>
      <c r="K222" s="15">
        <f t="shared" ref="K222:K285" si="37">IF(SUM(K221-I222-$E$14)&lt;=0,0,SUM(K221-I222-$E$14))</f>
        <v>0</v>
      </c>
      <c r="L222" s="16">
        <f t="shared" ref="L222:L285" si="38">IF($K221&lt;=0,0,SUM(I222,L221,$E$14))</f>
        <v>0</v>
      </c>
      <c r="M222" s="16">
        <f t="shared" ref="M222:M285" si="39">IF($K221&lt;=0,0,SUM(J222,M221))</f>
        <v>0</v>
      </c>
    </row>
    <row r="223" spans="1:13" ht="15">
      <c r="A223" s="17">
        <v>196</v>
      </c>
      <c r="B223" s="15">
        <f t="shared" si="31"/>
        <v>505.46978307111453</v>
      </c>
      <c r="C223" s="15">
        <f t="shared" si="32"/>
        <v>727.06286274016475</v>
      </c>
      <c r="D223" s="15">
        <f t="shared" si="33"/>
        <v>133721.520261267</v>
      </c>
      <c r="E223" s="16">
        <f t="shared" si="34"/>
        <v>61278.479738732902</v>
      </c>
      <c r="F223" s="16">
        <f t="shared" si="35"/>
        <v>180297.91884027794</v>
      </c>
      <c r="G223" s="1"/>
      <c r="H223" s="17">
        <v>196</v>
      </c>
      <c r="I223" s="15">
        <f t="shared" si="36"/>
        <v>0</v>
      </c>
      <c r="J223" s="15">
        <f t="shared" si="30"/>
        <v>0</v>
      </c>
      <c r="K223" s="15">
        <f t="shared" si="37"/>
        <v>0</v>
      </c>
      <c r="L223" s="16">
        <f t="shared" si="38"/>
        <v>0</v>
      </c>
      <c r="M223" s="16">
        <f t="shared" si="39"/>
        <v>0</v>
      </c>
    </row>
    <row r="224" spans="1:13" ht="15">
      <c r="A224" s="17">
        <v>197</v>
      </c>
      <c r="B224" s="15">
        <f t="shared" si="31"/>
        <v>508.20774439608306</v>
      </c>
      <c r="C224" s="15">
        <f t="shared" si="32"/>
        <v>724.32490141519622</v>
      </c>
      <c r="D224" s="15">
        <f t="shared" si="33"/>
        <v>133213.31251687091</v>
      </c>
      <c r="E224" s="16">
        <f t="shared" si="34"/>
        <v>61786.687483128982</v>
      </c>
      <c r="F224" s="16">
        <f t="shared" si="35"/>
        <v>181022.24374169315</v>
      </c>
      <c r="G224" s="1"/>
      <c r="H224" s="17">
        <v>197</v>
      </c>
      <c r="I224" s="15">
        <f t="shared" si="36"/>
        <v>0</v>
      </c>
      <c r="J224" s="15">
        <f t="shared" si="30"/>
        <v>0</v>
      </c>
      <c r="K224" s="15">
        <f t="shared" si="37"/>
        <v>0</v>
      </c>
      <c r="L224" s="16">
        <f t="shared" si="38"/>
        <v>0</v>
      </c>
      <c r="M224" s="16">
        <f t="shared" si="39"/>
        <v>0</v>
      </c>
    </row>
    <row r="225" spans="1:13" ht="15">
      <c r="A225" s="17">
        <v>198</v>
      </c>
      <c r="B225" s="15">
        <f t="shared" si="31"/>
        <v>510.96053634489522</v>
      </c>
      <c r="C225" s="15">
        <f t="shared" si="32"/>
        <v>721.57210946638406</v>
      </c>
      <c r="D225" s="15">
        <f t="shared" si="33"/>
        <v>132702.351980526</v>
      </c>
      <c r="E225" s="16">
        <f t="shared" si="34"/>
        <v>62297.648019473876</v>
      </c>
      <c r="F225" s="16">
        <f t="shared" si="35"/>
        <v>181743.81585115954</v>
      </c>
      <c r="G225" s="1"/>
      <c r="H225" s="17">
        <v>198</v>
      </c>
      <c r="I225" s="15">
        <f t="shared" si="36"/>
        <v>0</v>
      </c>
      <c r="J225" s="15">
        <f t="shared" si="30"/>
        <v>0</v>
      </c>
      <c r="K225" s="15">
        <f t="shared" si="37"/>
        <v>0</v>
      </c>
      <c r="L225" s="16">
        <f t="shared" si="38"/>
        <v>0</v>
      </c>
      <c r="M225" s="16">
        <f t="shared" si="39"/>
        <v>0</v>
      </c>
    </row>
    <row r="226" spans="1:13" ht="15">
      <c r="A226" s="17">
        <v>199</v>
      </c>
      <c r="B226" s="15">
        <f t="shared" si="31"/>
        <v>513.72823925009675</v>
      </c>
      <c r="C226" s="15">
        <f t="shared" si="32"/>
        <v>718.80440656118253</v>
      </c>
      <c r="D226" s="15">
        <f t="shared" si="33"/>
        <v>132188.62374127589</v>
      </c>
      <c r="E226" s="16">
        <f t="shared" si="34"/>
        <v>62811.376258723976</v>
      </c>
      <c r="F226" s="16">
        <f t="shared" si="35"/>
        <v>182462.62025772073</v>
      </c>
      <c r="G226" s="1"/>
      <c r="H226" s="17">
        <v>199</v>
      </c>
      <c r="I226" s="15">
        <f t="shared" si="36"/>
        <v>0</v>
      </c>
      <c r="J226" s="15">
        <f t="shared" si="30"/>
        <v>0</v>
      </c>
      <c r="K226" s="15">
        <f t="shared" si="37"/>
        <v>0</v>
      </c>
      <c r="L226" s="16">
        <f t="shared" si="38"/>
        <v>0</v>
      </c>
      <c r="M226" s="16">
        <f t="shared" si="39"/>
        <v>0</v>
      </c>
    </row>
    <row r="227" spans="1:13" ht="15">
      <c r="A227" s="17">
        <v>200</v>
      </c>
      <c r="B227" s="15">
        <f t="shared" si="31"/>
        <v>516.51093387936817</v>
      </c>
      <c r="C227" s="15">
        <f t="shared" si="32"/>
        <v>716.02171193191111</v>
      </c>
      <c r="D227" s="15">
        <f t="shared" si="33"/>
        <v>131672.11280739654</v>
      </c>
      <c r="E227" s="16">
        <f t="shared" si="34"/>
        <v>63327.887192603346</v>
      </c>
      <c r="F227" s="16">
        <f t="shared" si="35"/>
        <v>183178.64196965264</v>
      </c>
      <c r="G227" s="1"/>
      <c r="H227" s="17">
        <v>200</v>
      </c>
      <c r="I227" s="15">
        <f t="shared" si="36"/>
        <v>0</v>
      </c>
      <c r="J227" s="15">
        <f t="shared" si="30"/>
        <v>0</v>
      </c>
      <c r="K227" s="15">
        <f t="shared" si="37"/>
        <v>0</v>
      </c>
      <c r="L227" s="16">
        <f t="shared" si="38"/>
        <v>0</v>
      </c>
      <c r="M227" s="16">
        <f t="shared" si="39"/>
        <v>0</v>
      </c>
    </row>
    <row r="228" spans="1:13" ht="15">
      <c r="A228" s="17">
        <v>201</v>
      </c>
      <c r="B228" s="15">
        <f t="shared" si="31"/>
        <v>519.30870143788138</v>
      </c>
      <c r="C228" s="15">
        <f t="shared" si="32"/>
        <v>713.2239443733979</v>
      </c>
      <c r="D228" s="15">
        <f t="shared" si="33"/>
        <v>131152.80410595867</v>
      </c>
      <c r="E228" s="16">
        <f t="shared" si="34"/>
        <v>63847.19589404123</v>
      </c>
      <c r="F228" s="16">
        <f t="shared" si="35"/>
        <v>183891.86591402604</v>
      </c>
      <c r="G228" s="1"/>
      <c r="H228" s="17">
        <v>201</v>
      </c>
      <c r="I228" s="15">
        <f t="shared" si="36"/>
        <v>0</v>
      </c>
      <c r="J228" s="15">
        <f t="shared" si="30"/>
        <v>0</v>
      </c>
      <c r="K228" s="15">
        <f t="shared" si="37"/>
        <v>0</v>
      </c>
      <c r="L228" s="16">
        <f t="shared" si="38"/>
        <v>0</v>
      </c>
      <c r="M228" s="16">
        <f t="shared" si="39"/>
        <v>0</v>
      </c>
    </row>
    <row r="229" spans="1:13" ht="15">
      <c r="A229" s="17">
        <v>202</v>
      </c>
      <c r="B229" s="15">
        <f t="shared" si="31"/>
        <v>522.12162357066984</v>
      </c>
      <c r="C229" s="15">
        <f t="shared" si="32"/>
        <v>710.41102224060944</v>
      </c>
      <c r="D229" s="15">
        <f t="shared" si="33"/>
        <v>130630.682482388</v>
      </c>
      <c r="E229" s="16">
        <f t="shared" si="34"/>
        <v>64369.317517611897</v>
      </c>
      <c r="F229" s="16">
        <f t="shared" si="35"/>
        <v>184602.27693626666</v>
      </c>
      <c r="G229" s="1"/>
      <c r="H229" s="17">
        <v>202</v>
      </c>
      <c r="I229" s="15">
        <f t="shared" si="36"/>
        <v>0</v>
      </c>
      <c r="J229" s="15">
        <f t="shared" si="30"/>
        <v>0</v>
      </c>
      <c r="K229" s="15">
        <f t="shared" si="37"/>
        <v>0</v>
      </c>
      <c r="L229" s="16">
        <f t="shared" si="38"/>
        <v>0</v>
      </c>
      <c r="M229" s="16">
        <f t="shared" si="39"/>
        <v>0</v>
      </c>
    </row>
    <row r="230" spans="1:13" ht="15">
      <c r="A230" s="17">
        <v>203</v>
      </c>
      <c r="B230" s="15">
        <f t="shared" si="31"/>
        <v>524.94978236501095</v>
      </c>
      <c r="C230" s="15">
        <f t="shared" si="32"/>
        <v>707.58286344626833</v>
      </c>
      <c r="D230" s="15">
        <f t="shared" si="33"/>
        <v>130105.73270002299</v>
      </c>
      <c r="E230" s="16">
        <f t="shared" si="34"/>
        <v>64894.267299976906</v>
      </c>
      <c r="F230" s="16">
        <f t="shared" si="35"/>
        <v>185309.85979971293</v>
      </c>
      <c r="G230" s="1"/>
      <c r="H230" s="17">
        <v>203</v>
      </c>
      <c r="I230" s="15">
        <f t="shared" si="36"/>
        <v>0</v>
      </c>
      <c r="J230" s="15">
        <f t="shared" si="30"/>
        <v>0</v>
      </c>
      <c r="K230" s="15">
        <f t="shared" si="37"/>
        <v>0</v>
      </c>
      <c r="L230" s="16">
        <f t="shared" si="38"/>
        <v>0</v>
      </c>
      <c r="M230" s="16">
        <f t="shared" si="39"/>
        <v>0</v>
      </c>
    </row>
    <row r="231" spans="1:13" ht="15">
      <c r="A231" s="14" t="s">
        <v>47</v>
      </c>
      <c r="B231" s="15">
        <f t="shared" si="31"/>
        <v>527.79326035282145</v>
      </c>
      <c r="C231" s="15">
        <f t="shared" si="32"/>
        <v>704.73938545845783</v>
      </c>
      <c r="D231" s="15">
        <f t="shared" si="33"/>
        <v>129577.93943967017</v>
      </c>
      <c r="E231" s="16">
        <f t="shared" si="34"/>
        <v>65422.06056032973</v>
      </c>
      <c r="F231" s="16">
        <f t="shared" si="35"/>
        <v>186014.59918517139</v>
      </c>
      <c r="G231" s="1"/>
      <c r="H231" s="14" t="s">
        <v>47</v>
      </c>
      <c r="I231" s="15">
        <f t="shared" si="36"/>
        <v>0</v>
      </c>
      <c r="J231" s="15">
        <f t="shared" si="30"/>
        <v>0</v>
      </c>
      <c r="K231" s="15">
        <f t="shared" si="37"/>
        <v>0</v>
      </c>
      <c r="L231" s="16">
        <f t="shared" si="38"/>
        <v>0</v>
      </c>
      <c r="M231" s="16">
        <f t="shared" si="39"/>
        <v>0</v>
      </c>
    </row>
    <row r="232" spans="1:13" ht="15">
      <c r="A232" s="17">
        <v>205</v>
      </c>
      <c r="B232" s="15">
        <f t="shared" si="31"/>
        <v>530.65214051306589</v>
      </c>
      <c r="C232" s="15">
        <f t="shared" si="32"/>
        <v>701.88050529821339</v>
      </c>
      <c r="D232" s="15">
        <f t="shared" si="33"/>
        <v>129047.28729915711</v>
      </c>
      <c r="E232" s="16">
        <f t="shared" si="34"/>
        <v>65952.712700842792</v>
      </c>
      <c r="F232" s="16">
        <f t="shared" si="35"/>
        <v>186716.4796904696</v>
      </c>
      <c r="G232" s="1"/>
      <c r="H232" s="17">
        <v>205</v>
      </c>
      <c r="I232" s="15">
        <f t="shared" si="36"/>
        <v>0</v>
      </c>
      <c r="J232" s="15">
        <f t="shared" si="30"/>
        <v>0</v>
      </c>
      <c r="K232" s="15">
        <f t="shared" si="37"/>
        <v>0</v>
      </c>
      <c r="L232" s="16">
        <f t="shared" si="38"/>
        <v>0</v>
      </c>
      <c r="M232" s="16">
        <f t="shared" si="39"/>
        <v>0</v>
      </c>
    </row>
    <row r="233" spans="1:13" ht="15">
      <c r="A233" s="17">
        <v>206</v>
      </c>
      <c r="B233" s="15">
        <f t="shared" si="31"/>
        <v>533.52650627417825</v>
      </c>
      <c r="C233" s="15">
        <f t="shared" si="32"/>
        <v>699.00613953710103</v>
      </c>
      <c r="D233" s="15">
        <f t="shared" si="33"/>
        <v>128513.76079288292</v>
      </c>
      <c r="E233" s="16">
        <f t="shared" si="34"/>
        <v>66486.239207116974</v>
      </c>
      <c r="F233" s="16">
        <f t="shared" si="35"/>
        <v>187415.48583000668</v>
      </c>
      <c r="G233" s="1"/>
      <c r="H233" s="17">
        <v>206</v>
      </c>
      <c r="I233" s="15">
        <f t="shared" si="36"/>
        <v>0</v>
      </c>
      <c r="J233" s="15">
        <f t="shared" si="30"/>
        <v>0</v>
      </c>
      <c r="K233" s="15">
        <f t="shared" si="37"/>
        <v>0</v>
      </c>
      <c r="L233" s="16">
        <f t="shared" si="38"/>
        <v>0</v>
      </c>
      <c r="M233" s="16">
        <f t="shared" si="39"/>
        <v>0</v>
      </c>
    </row>
    <row r="234" spans="1:13" ht="15">
      <c r="A234" s="17">
        <v>207</v>
      </c>
      <c r="B234" s="15">
        <f t="shared" si="31"/>
        <v>536.41644151649677</v>
      </c>
      <c r="C234" s="15">
        <f t="shared" si="32"/>
        <v>696.11620429478251</v>
      </c>
      <c r="D234" s="15">
        <f t="shared" si="33"/>
        <v>127977.34435136642</v>
      </c>
      <c r="E234" s="16">
        <f t="shared" si="34"/>
        <v>67022.655648633474</v>
      </c>
      <c r="F234" s="16">
        <f t="shared" si="35"/>
        <v>188111.60203430147</v>
      </c>
      <c r="G234" s="1"/>
      <c r="H234" s="17">
        <v>207</v>
      </c>
      <c r="I234" s="15">
        <f t="shared" si="36"/>
        <v>0</v>
      </c>
      <c r="J234" s="15">
        <f t="shared" si="30"/>
        <v>0</v>
      </c>
      <c r="K234" s="15">
        <f t="shared" si="37"/>
        <v>0</v>
      </c>
      <c r="L234" s="16">
        <f t="shared" si="38"/>
        <v>0</v>
      </c>
      <c r="M234" s="16">
        <f t="shared" si="39"/>
        <v>0</v>
      </c>
    </row>
    <row r="235" spans="1:13" ht="15">
      <c r="A235" s="17">
        <v>208</v>
      </c>
      <c r="B235" s="15">
        <f t="shared" si="31"/>
        <v>539.32203057471111</v>
      </c>
      <c r="C235" s="15">
        <f t="shared" si="32"/>
        <v>693.21061523656817</v>
      </c>
      <c r="D235" s="15">
        <f t="shared" si="33"/>
        <v>127438.02232079172</v>
      </c>
      <c r="E235" s="16">
        <f t="shared" si="34"/>
        <v>67561.977679208183</v>
      </c>
      <c r="F235" s="16">
        <f t="shared" si="35"/>
        <v>188804.81264953804</v>
      </c>
      <c r="G235" s="1"/>
      <c r="H235" s="17">
        <v>208</v>
      </c>
      <c r="I235" s="15">
        <f t="shared" si="36"/>
        <v>0</v>
      </c>
      <c r="J235" s="15">
        <f t="shared" si="30"/>
        <v>0</v>
      </c>
      <c r="K235" s="15">
        <f t="shared" si="37"/>
        <v>0</v>
      </c>
      <c r="L235" s="16">
        <f t="shared" si="38"/>
        <v>0</v>
      </c>
      <c r="M235" s="16">
        <f t="shared" si="39"/>
        <v>0</v>
      </c>
    </row>
    <row r="236" spans="1:13" ht="15">
      <c r="A236" s="17">
        <v>209</v>
      </c>
      <c r="B236" s="15">
        <f t="shared" si="31"/>
        <v>542.24335824032414</v>
      </c>
      <c r="C236" s="15">
        <f t="shared" si="32"/>
        <v>690.28928757095514</v>
      </c>
      <c r="D236" s="15">
        <f t="shared" si="33"/>
        <v>126895.7789625514</v>
      </c>
      <c r="E236" s="16">
        <f t="shared" si="34"/>
        <v>68104.2210374485</v>
      </c>
      <c r="F236" s="16">
        <f t="shared" si="35"/>
        <v>189495.10193710899</v>
      </c>
      <c r="G236" s="1"/>
      <c r="H236" s="17">
        <v>209</v>
      </c>
      <c r="I236" s="15">
        <f t="shared" si="36"/>
        <v>0</v>
      </c>
      <c r="J236" s="15">
        <f t="shared" si="30"/>
        <v>0</v>
      </c>
      <c r="K236" s="15">
        <f t="shared" si="37"/>
        <v>0</v>
      </c>
      <c r="L236" s="16">
        <f t="shared" si="38"/>
        <v>0</v>
      </c>
      <c r="M236" s="16">
        <f t="shared" si="39"/>
        <v>0</v>
      </c>
    </row>
    <row r="237" spans="1:13" ht="15">
      <c r="A237" s="17">
        <v>210</v>
      </c>
      <c r="B237" s="15">
        <f t="shared" si="31"/>
        <v>545.18050976412587</v>
      </c>
      <c r="C237" s="15">
        <f t="shared" si="32"/>
        <v>687.35213604715341</v>
      </c>
      <c r="D237" s="15">
        <f t="shared" si="33"/>
        <v>126350.59845278728</v>
      </c>
      <c r="E237" s="16">
        <f t="shared" si="34"/>
        <v>68649.401547212619</v>
      </c>
      <c r="F237" s="16">
        <f t="shared" si="35"/>
        <v>190182.45407315614</v>
      </c>
      <c r="G237" s="1"/>
      <c r="H237" s="17">
        <v>210</v>
      </c>
      <c r="I237" s="15">
        <f t="shared" si="36"/>
        <v>0</v>
      </c>
      <c r="J237" s="15">
        <f t="shared" si="30"/>
        <v>0</v>
      </c>
      <c r="K237" s="15">
        <f t="shared" si="37"/>
        <v>0</v>
      </c>
      <c r="L237" s="16">
        <f t="shared" si="38"/>
        <v>0</v>
      </c>
      <c r="M237" s="16">
        <f t="shared" si="39"/>
        <v>0</v>
      </c>
    </row>
    <row r="238" spans="1:13" ht="15">
      <c r="A238" s="17">
        <v>211</v>
      </c>
      <c r="B238" s="15">
        <f t="shared" si="31"/>
        <v>548.13357085868154</v>
      </c>
      <c r="C238" s="15">
        <f t="shared" si="32"/>
        <v>684.39907495259774</v>
      </c>
      <c r="D238" s="15">
        <f t="shared" si="33"/>
        <v>125802.46488192859</v>
      </c>
      <c r="E238" s="16">
        <f t="shared" si="34"/>
        <v>69197.535118071304</v>
      </c>
      <c r="F238" s="16">
        <f t="shared" si="35"/>
        <v>190866.85314810873</v>
      </c>
      <c r="G238" s="1"/>
      <c r="H238" s="17">
        <v>211</v>
      </c>
      <c r="I238" s="15">
        <f t="shared" si="36"/>
        <v>0</v>
      </c>
      <c r="J238" s="15">
        <f t="shared" si="30"/>
        <v>0</v>
      </c>
      <c r="K238" s="15">
        <f t="shared" si="37"/>
        <v>0</v>
      </c>
      <c r="L238" s="16">
        <f t="shared" si="38"/>
        <v>0</v>
      </c>
      <c r="M238" s="16">
        <f t="shared" si="39"/>
        <v>0</v>
      </c>
    </row>
    <row r="239" spans="1:13" ht="15">
      <c r="A239" s="17">
        <v>212</v>
      </c>
      <c r="B239" s="15">
        <f t="shared" si="31"/>
        <v>551.10262770083273</v>
      </c>
      <c r="C239" s="15">
        <f t="shared" si="32"/>
        <v>681.43001811044655</v>
      </c>
      <c r="D239" s="15">
        <f t="shared" si="33"/>
        <v>125251.36225422776</v>
      </c>
      <c r="E239" s="16">
        <f t="shared" si="34"/>
        <v>69748.637745772139</v>
      </c>
      <c r="F239" s="16">
        <f t="shared" si="35"/>
        <v>191548.28316621916</v>
      </c>
      <c r="G239" s="1"/>
      <c r="H239" s="17">
        <v>212</v>
      </c>
      <c r="I239" s="15">
        <f t="shared" si="36"/>
        <v>0</v>
      </c>
      <c r="J239" s="15">
        <f t="shared" si="30"/>
        <v>0</v>
      </c>
      <c r="K239" s="15">
        <f t="shared" si="37"/>
        <v>0</v>
      </c>
      <c r="L239" s="16">
        <f t="shared" si="38"/>
        <v>0</v>
      </c>
      <c r="M239" s="16">
        <f t="shared" si="39"/>
        <v>0</v>
      </c>
    </row>
    <row r="240" spans="1:13" ht="15">
      <c r="A240" s="17">
        <v>213</v>
      </c>
      <c r="B240" s="15">
        <f t="shared" si="31"/>
        <v>554.08776693421225</v>
      </c>
      <c r="C240" s="15">
        <f t="shared" si="32"/>
        <v>678.44487887706703</v>
      </c>
      <c r="D240" s="15">
        <f t="shared" si="33"/>
        <v>124697.27448729354</v>
      </c>
      <c r="E240" s="16">
        <f t="shared" si="34"/>
        <v>70302.725512706354</v>
      </c>
      <c r="F240" s="16">
        <f t="shared" si="35"/>
        <v>192226.72804509621</v>
      </c>
      <c r="G240" s="1"/>
      <c r="H240" s="17">
        <v>213</v>
      </c>
      <c r="I240" s="15">
        <f t="shared" si="36"/>
        <v>0</v>
      </c>
      <c r="J240" s="15">
        <f t="shared" si="30"/>
        <v>0</v>
      </c>
      <c r="K240" s="15">
        <f t="shared" si="37"/>
        <v>0</v>
      </c>
      <c r="L240" s="16">
        <f t="shared" si="38"/>
        <v>0</v>
      </c>
      <c r="M240" s="16">
        <f t="shared" si="39"/>
        <v>0</v>
      </c>
    </row>
    <row r="241" spans="1:13" ht="15">
      <c r="A241" s="17">
        <v>214</v>
      </c>
      <c r="B241" s="15">
        <f t="shared" si="31"/>
        <v>557.08907567177255</v>
      </c>
      <c r="C241" s="15">
        <f t="shared" si="32"/>
        <v>675.44357013950673</v>
      </c>
      <c r="D241" s="15">
        <f t="shared" si="33"/>
        <v>124140.18541162177</v>
      </c>
      <c r="E241" s="16">
        <f t="shared" si="34"/>
        <v>70859.814588378125</v>
      </c>
      <c r="F241" s="16">
        <f t="shared" si="35"/>
        <v>192902.17161523571</v>
      </c>
      <c r="G241" s="1"/>
      <c r="H241" s="17">
        <v>214</v>
      </c>
      <c r="I241" s="15">
        <f t="shared" si="36"/>
        <v>0</v>
      </c>
      <c r="J241" s="15">
        <f t="shared" si="30"/>
        <v>0</v>
      </c>
      <c r="K241" s="15">
        <f t="shared" si="37"/>
        <v>0</v>
      </c>
      <c r="L241" s="16">
        <f t="shared" si="38"/>
        <v>0</v>
      </c>
      <c r="M241" s="16">
        <f t="shared" si="39"/>
        <v>0</v>
      </c>
    </row>
    <row r="242" spans="1:13" ht="15">
      <c r="A242" s="17">
        <v>215</v>
      </c>
      <c r="B242" s="15">
        <f t="shared" si="31"/>
        <v>560.10664149832803</v>
      </c>
      <c r="C242" s="15">
        <f t="shared" si="32"/>
        <v>672.42600431295125</v>
      </c>
      <c r="D242" s="15">
        <f t="shared" si="33"/>
        <v>123580.07877012345</v>
      </c>
      <c r="E242" s="16">
        <f t="shared" si="34"/>
        <v>71419.921229876447</v>
      </c>
      <c r="F242" s="16">
        <f t="shared" si="35"/>
        <v>193574.59761954867</v>
      </c>
      <c r="G242" s="1"/>
      <c r="H242" s="17">
        <v>215</v>
      </c>
      <c r="I242" s="15">
        <f t="shared" si="36"/>
        <v>0</v>
      </c>
      <c r="J242" s="15">
        <f t="shared" si="30"/>
        <v>0</v>
      </c>
      <c r="K242" s="15">
        <f t="shared" si="37"/>
        <v>0</v>
      </c>
      <c r="L242" s="16">
        <f t="shared" si="38"/>
        <v>0</v>
      </c>
      <c r="M242" s="16">
        <f t="shared" si="39"/>
        <v>0</v>
      </c>
    </row>
    <row r="243" spans="1:13" ht="15">
      <c r="A243" s="14" t="s">
        <v>48</v>
      </c>
      <c r="B243" s="15">
        <f t="shared" si="31"/>
        <v>563.14055247311057</v>
      </c>
      <c r="C243" s="15">
        <f t="shared" si="32"/>
        <v>669.39209333816871</v>
      </c>
      <c r="D243" s="15">
        <f t="shared" si="33"/>
        <v>123016.93821765034</v>
      </c>
      <c r="E243" s="16">
        <f t="shared" si="34"/>
        <v>71983.061782349556</v>
      </c>
      <c r="F243" s="16">
        <f t="shared" si="35"/>
        <v>194243.98971288683</v>
      </c>
      <c r="G243" s="1"/>
      <c r="H243" s="14" t="s">
        <v>48</v>
      </c>
      <c r="I243" s="15">
        <f t="shared" si="36"/>
        <v>0</v>
      </c>
      <c r="J243" s="15">
        <f t="shared" si="30"/>
        <v>0</v>
      </c>
      <c r="K243" s="15">
        <f t="shared" si="37"/>
        <v>0</v>
      </c>
      <c r="L243" s="16">
        <f t="shared" si="38"/>
        <v>0</v>
      </c>
      <c r="M243" s="16">
        <f t="shared" si="39"/>
        <v>0</v>
      </c>
    </row>
    <row r="244" spans="1:13" ht="15">
      <c r="A244" s="17">
        <v>217</v>
      </c>
      <c r="B244" s="15">
        <f t="shared" si="31"/>
        <v>566.19089713233996</v>
      </c>
      <c r="C244" s="15">
        <f t="shared" si="32"/>
        <v>666.34174867893933</v>
      </c>
      <c r="D244" s="15">
        <f t="shared" si="33"/>
        <v>122450.747320518</v>
      </c>
      <c r="E244" s="16">
        <f t="shared" si="34"/>
        <v>72549.252679481899</v>
      </c>
      <c r="F244" s="16">
        <f t="shared" si="35"/>
        <v>194910.33146156577</v>
      </c>
      <c r="G244" s="1"/>
      <c r="H244" s="17">
        <v>217</v>
      </c>
      <c r="I244" s="15">
        <f t="shared" si="36"/>
        <v>0</v>
      </c>
      <c r="J244" s="15">
        <f t="shared" si="30"/>
        <v>0</v>
      </c>
      <c r="K244" s="15">
        <f t="shared" si="37"/>
        <v>0</v>
      </c>
      <c r="L244" s="16">
        <f t="shared" si="38"/>
        <v>0</v>
      </c>
      <c r="M244" s="16">
        <f t="shared" si="39"/>
        <v>0</v>
      </c>
    </row>
    <row r="245" spans="1:13" ht="15">
      <c r="A245" s="17">
        <v>218</v>
      </c>
      <c r="B245" s="15">
        <f t="shared" si="31"/>
        <v>569.25776449180671</v>
      </c>
      <c r="C245" s="15">
        <f t="shared" si="32"/>
        <v>663.27488131947257</v>
      </c>
      <c r="D245" s="15">
        <f t="shared" si="33"/>
        <v>121881.48955602619</v>
      </c>
      <c r="E245" s="16">
        <f t="shared" si="34"/>
        <v>73118.510443973704</v>
      </c>
      <c r="F245" s="16">
        <f t="shared" si="35"/>
        <v>195573.60634288524</v>
      </c>
      <c r="G245" s="1"/>
      <c r="H245" s="17">
        <v>218</v>
      </c>
      <c r="I245" s="15">
        <f t="shared" si="36"/>
        <v>0</v>
      </c>
      <c r="J245" s="15">
        <f t="shared" si="30"/>
        <v>0</v>
      </c>
      <c r="K245" s="15">
        <f t="shared" si="37"/>
        <v>0</v>
      </c>
      <c r="L245" s="16">
        <f t="shared" si="38"/>
        <v>0</v>
      </c>
      <c r="M245" s="16">
        <f t="shared" si="39"/>
        <v>0</v>
      </c>
    </row>
    <row r="246" spans="1:13" ht="15">
      <c r="A246" s="17">
        <v>219</v>
      </c>
      <c r="B246" s="15">
        <f t="shared" si="31"/>
        <v>572.34124404947067</v>
      </c>
      <c r="C246" s="15">
        <f t="shared" si="32"/>
        <v>660.19140176180861</v>
      </c>
      <c r="D246" s="15">
        <f t="shared" si="33"/>
        <v>121309.14831197672</v>
      </c>
      <c r="E246" s="16">
        <f t="shared" si="34"/>
        <v>73690.851688023176</v>
      </c>
      <c r="F246" s="16">
        <f t="shared" si="35"/>
        <v>196233.79774464705</v>
      </c>
      <c r="G246" s="1"/>
      <c r="H246" s="17">
        <v>219</v>
      </c>
      <c r="I246" s="15">
        <f t="shared" si="36"/>
        <v>0</v>
      </c>
      <c r="J246" s="15">
        <f t="shared" si="30"/>
        <v>0</v>
      </c>
      <c r="K246" s="15">
        <f t="shared" si="37"/>
        <v>0</v>
      </c>
      <c r="L246" s="16">
        <f t="shared" si="38"/>
        <v>0</v>
      </c>
      <c r="M246" s="16">
        <f t="shared" si="39"/>
        <v>0</v>
      </c>
    </row>
    <row r="247" spans="1:13" ht="15">
      <c r="A247" s="17">
        <v>220</v>
      </c>
      <c r="B247" s="15">
        <f t="shared" si="31"/>
        <v>575.44142578807202</v>
      </c>
      <c r="C247" s="15">
        <f t="shared" si="32"/>
        <v>657.09122002320726</v>
      </c>
      <c r="D247" s="15">
        <f t="shared" si="33"/>
        <v>120733.70688618865</v>
      </c>
      <c r="E247" s="16">
        <f t="shared" si="34"/>
        <v>74266.293113811247</v>
      </c>
      <c r="F247" s="16">
        <f t="shared" si="35"/>
        <v>196890.88896467024</v>
      </c>
      <c r="G247" s="1"/>
      <c r="H247" s="17">
        <v>220</v>
      </c>
      <c r="I247" s="15">
        <f t="shared" si="36"/>
        <v>0</v>
      </c>
      <c r="J247" s="15">
        <f t="shared" si="30"/>
        <v>0</v>
      </c>
      <c r="K247" s="15">
        <f t="shared" si="37"/>
        <v>0</v>
      </c>
      <c r="L247" s="16">
        <f t="shared" si="38"/>
        <v>0</v>
      </c>
      <c r="M247" s="16">
        <f t="shared" si="39"/>
        <v>0</v>
      </c>
    </row>
    <row r="248" spans="1:13" ht="15">
      <c r="A248" s="17">
        <v>221</v>
      </c>
      <c r="B248" s="15">
        <f t="shared" si="31"/>
        <v>578.55840017775745</v>
      </c>
      <c r="C248" s="15">
        <f t="shared" si="32"/>
        <v>653.97424563352183</v>
      </c>
      <c r="D248" s="15">
        <f t="shared" si="33"/>
        <v>120155.14848601089</v>
      </c>
      <c r="E248" s="16">
        <f t="shared" si="34"/>
        <v>74844.851513989008</v>
      </c>
      <c r="F248" s="16">
        <f t="shared" si="35"/>
        <v>197544.86321030377</v>
      </c>
      <c r="G248" s="1"/>
      <c r="H248" s="17">
        <v>221</v>
      </c>
      <c r="I248" s="15">
        <f t="shared" si="36"/>
        <v>0</v>
      </c>
      <c r="J248" s="15">
        <f t="shared" si="30"/>
        <v>0</v>
      </c>
      <c r="K248" s="15">
        <f t="shared" si="37"/>
        <v>0</v>
      </c>
      <c r="L248" s="16">
        <f t="shared" si="38"/>
        <v>0</v>
      </c>
      <c r="M248" s="16">
        <f t="shared" si="39"/>
        <v>0</v>
      </c>
    </row>
    <row r="249" spans="1:13" ht="15">
      <c r="A249" s="17">
        <v>222</v>
      </c>
      <c r="B249" s="15">
        <f t="shared" si="31"/>
        <v>581.69225817872029</v>
      </c>
      <c r="C249" s="15">
        <f t="shared" si="32"/>
        <v>650.84038763255899</v>
      </c>
      <c r="D249" s="15">
        <f t="shared" si="33"/>
        <v>119573.45622783217</v>
      </c>
      <c r="E249" s="16">
        <f t="shared" si="34"/>
        <v>75426.54377216773</v>
      </c>
      <c r="F249" s="16">
        <f t="shared" si="35"/>
        <v>198195.70359793631</v>
      </c>
      <c r="G249" s="1"/>
      <c r="H249" s="17">
        <v>222</v>
      </c>
      <c r="I249" s="15">
        <f t="shared" si="36"/>
        <v>0</v>
      </c>
      <c r="J249" s="15">
        <f t="shared" si="30"/>
        <v>0</v>
      </c>
      <c r="K249" s="15">
        <f t="shared" si="37"/>
        <v>0</v>
      </c>
      <c r="L249" s="16">
        <f t="shared" si="38"/>
        <v>0</v>
      </c>
      <c r="M249" s="16">
        <f t="shared" si="39"/>
        <v>0</v>
      </c>
    </row>
    <row r="250" spans="1:13" ht="15">
      <c r="A250" s="17">
        <v>223</v>
      </c>
      <c r="B250" s="15">
        <f t="shared" si="31"/>
        <v>584.84309124385504</v>
      </c>
      <c r="C250" s="15">
        <f t="shared" si="32"/>
        <v>647.68955456742424</v>
      </c>
      <c r="D250" s="15">
        <f t="shared" si="33"/>
        <v>118988.61313658832</v>
      </c>
      <c r="E250" s="16">
        <f t="shared" si="34"/>
        <v>76011.386863411579</v>
      </c>
      <c r="F250" s="16">
        <f t="shared" si="35"/>
        <v>198843.39315250373</v>
      </c>
      <c r="G250" s="1"/>
      <c r="H250" s="17">
        <v>223</v>
      </c>
      <c r="I250" s="15">
        <f t="shared" si="36"/>
        <v>0</v>
      </c>
      <c r="J250" s="15">
        <f t="shared" si="30"/>
        <v>0</v>
      </c>
      <c r="K250" s="15">
        <f t="shared" si="37"/>
        <v>0</v>
      </c>
      <c r="L250" s="16">
        <f t="shared" si="38"/>
        <v>0</v>
      </c>
      <c r="M250" s="16">
        <f t="shared" si="39"/>
        <v>0</v>
      </c>
    </row>
    <row r="251" spans="1:13" ht="15">
      <c r="A251" s="17">
        <v>224</v>
      </c>
      <c r="B251" s="15">
        <f t="shared" si="31"/>
        <v>588.01099132142588</v>
      </c>
      <c r="C251" s="15">
        <f t="shared" si="32"/>
        <v>644.5216544898534</v>
      </c>
      <c r="D251" s="15">
        <f t="shared" si="33"/>
        <v>118400.60214526689</v>
      </c>
      <c r="E251" s="16">
        <f t="shared" si="34"/>
        <v>76599.397854733004</v>
      </c>
      <c r="F251" s="16">
        <f t="shared" si="35"/>
        <v>199487.91480699359</v>
      </c>
      <c r="G251" s="1"/>
      <c r="H251" s="17">
        <v>224</v>
      </c>
      <c r="I251" s="15">
        <f t="shared" si="36"/>
        <v>0</v>
      </c>
      <c r="J251" s="15">
        <f t="shared" si="30"/>
        <v>0</v>
      </c>
      <c r="K251" s="15">
        <f t="shared" si="37"/>
        <v>0</v>
      </c>
      <c r="L251" s="16">
        <f t="shared" si="38"/>
        <v>0</v>
      </c>
      <c r="M251" s="16">
        <f t="shared" si="39"/>
        <v>0</v>
      </c>
    </row>
    <row r="252" spans="1:13" ht="15">
      <c r="A252" s="17">
        <v>225</v>
      </c>
      <c r="B252" s="15">
        <f t="shared" si="31"/>
        <v>591.19605085775027</v>
      </c>
      <c r="C252" s="15">
        <f t="shared" si="32"/>
        <v>641.33659495352902</v>
      </c>
      <c r="D252" s="15">
        <f t="shared" si="33"/>
        <v>117809.40609440915</v>
      </c>
      <c r="E252" s="16">
        <f t="shared" si="34"/>
        <v>77190.593905590751</v>
      </c>
      <c r="F252" s="16">
        <f t="shared" si="35"/>
        <v>200129.25140194711</v>
      </c>
      <c r="G252" s="1"/>
      <c r="H252" s="17">
        <v>225</v>
      </c>
      <c r="I252" s="15">
        <f t="shared" si="36"/>
        <v>0</v>
      </c>
      <c r="J252" s="15">
        <f t="shared" si="30"/>
        <v>0</v>
      </c>
      <c r="K252" s="15">
        <f t="shared" si="37"/>
        <v>0</v>
      </c>
      <c r="L252" s="16">
        <f t="shared" si="38"/>
        <v>0</v>
      </c>
      <c r="M252" s="16">
        <f t="shared" si="39"/>
        <v>0</v>
      </c>
    </row>
    <row r="253" spans="1:13" ht="15">
      <c r="A253" s="17">
        <v>226</v>
      </c>
      <c r="B253" s="15">
        <f t="shared" si="31"/>
        <v>594.3983627998964</v>
      </c>
      <c r="C253" s="15">
        <f t="shared" si="32"/>
        <v>638.13428301138288</v>
      </c>
      <c r="D253" s="15">
        <f t="shared" si="33"/>
        <v>117215.00773160925</v>
      </c>
      <c r="E253" s="16">
        <f t="shared" si="34"/>
        <v>77784.992268390648</v>
      </c>
      <c r="F253" s="16">
        <f t="shared" si="35"/>
        <v>200767.38568495848</v>
      </c>
      <c r="G253" s="1"/>
      <c r="H253" s="17">
        <v>226</v>
      </c>
      <c r="I253" s="15">
        <f t="shared" si="36"/>
        <v>0</v>
      </c>
      <c r="J253" s="15">
        <f t="shared" si="30"/>
        <v>0</v>
      </c>
      <c r="K253" s="15">
        <f t="shared" si="37"/>
        <v>0</v>
      </c>
      <c r="L253" s="16">
        <f t="shared" si="38"/>
        <v>0</v>
      </c>
      <c r="M253" s="16">
        <f t="shared" si="39"/>
        <v>0</v>
      </c>
    </row>
    <row r="254" spans="1:13" ht="15">
      <c r="A254" s="17">
        <v>227</v>
      </c>
      <c r="B254" s="15">
        <f t="shared" si="31"/>
        <v>597.61802059839579</v>
      </c>
      <c r="C254" s="15">
        <f t="shared" si="32"/>
        <v>634.91462521288349</v>
      </c>
      <c r="D254" s="15">
        <f t="shared" si="33"/>
        <v>116617.38971101085</v>
      </c>
      <c r="E254" s="16">
        <f t="shared" si="34"/>
        <v>78382.610288989046</v>
      </c>
      <c r="F254" s="16">
        <f t="shared" si="35"/>
        <v>201402.30031017135</v>
      </c>
      <c r="G254" s="1"/>
      <c r="H254" s="17">
        <v>227</v>
      </c>
      <c r="I254" s="15">
        <f t="shared" si="36"/>
        <v>0</v>
      </c>
      <c r="J254" s="15">
        <f t="shared" si="30"/>
        <v>0</v>
      </c>
      <c r="K254" s="15">
        <f t="shared" si="37"/>
        <v>0</v>
      </c>
      <c r="L254" s="16">
        <f t="shared" si="38"/>
        <v>0</v>
      </c>
      <c r="M254" s="16">
        <f t="shared" si="39"/>
        <v>0</v>
      </c>
    </row>
    <row r="255" spans="1:13" ht="15">
      <c r="A255" s="14" t="s">
        <v>49</v>
      </c>
      <c r="B255" s="15">
        <f t="shared" si="31"/>
        <v>600.85511820997044</v>
      </c>
      <c r="C255" s="15">
        <f t="shared" si="32"/>
        <v>631.67752760130884</v>
      </c>
      <c r="D255" s="15">
        <f t="shared" si="33"/>
        <v>116016.53459280088</v>
      </c>
      <c r="E255" s="16">
        <f t="shared" si="34"/>
        <v>78983.465407199023</v>
      </c>
      <c r="F255" s="16">
        <f t="shared" si="35"/>
        <v>202033.97783777266</v>
      </c>
      <c r="G255" s="1"/>
      <c r="H255" s="14" t="s">
        <v>49</v>
      </c>
      <c r="I255" s="15">
        <f t="shared" si="36"/>
        <v>0</v>
      </c>
      <c r="J255" s="15">
        <f t="shared" si="30"/>
        <v>0</v>
      </c>
      <c r="K255" s="15">
        <f t="shared" si="37"/>
        <v>0</v>
      </c>
      <c r="L255" s="16">
        <f t="shared" si="38"/>
        <v>0</v>
      </c>
      <c r="M255" s="16">
        <f t="shared" si="39"/>
        <v>0</v>
      </c>
    </row>
    <row r="256" spans="1:13" ht="15">
      <c r="A256" s="17">
        <v>229</v>
      </c>
      <c r="B256" s="15">
        <f t="shared" si="31"/>
        <v>604.10975010027448</v>
      </c>
      <c r="C256" s="15">
        <f t="shared" si="32"/>
        <v>628.4228957110048</v>
      </c>
      <c r="D256" s="15">
        <f t="shared" si="33"/>
        <v>115412.4248427006</v>
      </c>
      <c r="E256" s="16">
        <f t="shared" si="34"/>
        <v>79587.575157299303</v>
      </c>
      <c r="F256" s="16">
        <f t="shared" si="35"/>
        <v>202662.40073348366</v>
      </c>
      <c r="G256" s="1"/>
      <c r="H256" s="17">
        <v>229</v>
      </c>
      <c r="I256" s="15">
        <f t="shared" si="36"/>
        <v>0</v>
      </c>
      <c r="J256" s="15">
        <f t="shared" si="30"/>
        <v>0</v>
      </c>
      <c r="K256" s="15">
        <f t="shared" si="37"/>
        <v>0</v>
      </c>
      <c r="L256" s="16">
        <f t="shared" si="38"/>
        <v>0</v>
      </c>
      <c r="M256" s="16">
        <f t="shared" si="39"/>
        <v>0</v>
      </c>
    </row>
    <row r="257" spans="1:13" ht="15">
      <c r="A257" s="17">
        <v>230</v>
      </c>
      <c r="B257" s="15">
        <f t="shared" si="31"/>
        <v>607.38201124665102</v>
      </c>
      <c r="C257" s="15">
        <f t="shared" si="32"/>
        <v>625.15063456462826</v>
      </c>
      <c r="D257" s="15">
        <f t="shared" si="33"/>
        <v>114805.04283145395</v>
      </c>
      <c r="E257" s="16">
        <f t="shared" si="34"/>
        <v>80194.957168545952</v>
      </c>
      <c r="F257" s="16">
        <f t="shared" si="35"/>
        <v>203287.5513680483</v>
      </c>
      <c r="G257" s="1"/>
      <c r="H257" s="17">
        <v>230</v>
      </c>
      <c r="I257" s="15">
        <f t="shared" si="36"/>
        <v>0</v>
      </c>
      <c r="J257" s="15">
        <f t="shared" si="30"/>
        <v>0</v>
      </c>
      <c r="K257" s="15">
        <f t="shared" si="37"/>
        <v>0</v>
      </c>
      <c r="L257" s="16">
        <f t="shared" si="38"/>
        <v>0</v>
      </c>
      <c r="M257" s="16">
        <f t="shared" si="39"/>
        <v>0</v>
      </c>
    </row>
    <row r="258" spans="1:13" ht="15">
      <c r="A258" s="17">
        <v>231</v>
      </c>
      <c r="B258" s="15">
        <f t="shared" si="31"/>
        <v>610.67199714090373</v>
      </c>
      <c r="C258" s="15">
        <f t="shared" si="32"/>
        <v>621.86064867037555</v>
      </c>
      <c r="D258" s="15">
        <f t="shared" si="33"/>
        <v>114194.37083431304</v>
      </c>
      <c r="E258" s="16">
        <f t="shared" si="34"/>
        <v>80805.629165686856</v>
      </c>
      <c r="F258" s="16">
        <f t="shared" si="35"/>
        <v>203909.41201671868</v>
      </c>
      <c r="G258" s="1"/>
      <c r="H258" s="17">
        <v>231</v>
      </c>
      <c r="I258" s="15">
        <f t="shared" si="36"/>
        <v>0</v>
      </c>
      <c r="J258" s="15">
        <f t="shared" si="30"/>
        <v>0</v>
      </c>
      <c r="K258" s="15">
        <f t="shared" si="37"/>
        <v>0</v>
      </c>
      <c r="L258" s="16">
        <f t="shared" si="38"/>
        <v>0</v>
      </c>
      <c r="M258" s="16">
        <f t="shared" si="39"/>
        <v>0</v>
      </c>
    </row>
    <row r="259" spans="1:13" ht="15">
      <c r="A259" s="17">
        <v>232</v>
      </c>
      <c r="B259" s="15">
        <f t="shared" si="31"/>
        <v>613.97980379208366</v>
      </c>
      <c r="C259" s="15">
        <f t="shared" si="32"/>
        <v>618.55284201919562</v>
      </c>
      <c r="D259" s="15">
        <f t="shared" si="33"/>
        <v>113580.39103052096</v>
      </c>
      <c r="E259" s="16">
        <f t="shared" si="34"/>
        <v>81419.608969478941</v>
      </c>
      <c r="F259" s="16">
        <f t="shared" si="35"/>
        <v>204527.96485873786</v>
      </c>
      <c r="G259" s="1"/>
      <c r="H259" s="17">
        <v>232</v>
      </c>
      <c r="I259" s="15">
        <f t="shared" si="36"/>
        <v>0</v>
      </c>
      <c r="J259" s="15">
        <f t="shared" si="30"/>
        <v>0</v>
      </c>
      <c r="K259" s="15">
        <f t="shared" si="37"/>
        <v>0</v>
      </c>
      <c r="L259" s="16">
        <f t="shared" si="38"/>
        <v>0</v>
      </c>
      <c r="M259" s="16">
        <f t="shared" si="39"/>
        <v>0</v>
      </c>
    </row>
    <row r="260" spans="1:13" ht="15">
      <c r="A260" s="17">
        <v>233</v>
      </c>
      <c r="B260" s="15">
        <f t="shared" si="31"/>
        <v>617.3055277292907</v>
      </c>
      <c r="C260" s="15">
        <f t="shared" si="32"/>
        <v>615.22711808198858</v>
      </c>
      <c r="D260" s="15">
        <f t="shared" si="33"/>
        <v>112963.08550279167</v>
      </c>
      <c r="E260" s="16">
        <f t="shared" si="34"/>
        <v>82036.914497208229</v>
      </c>
      <c r="F260" s="16">
        <f t="shared" si="35"/>
        <v>205143.19197681986</v>
      </c>
      <c r="G260" s="1"/>
      <c r="H260" s="17">
        <v>233</v>
      </c>
      <c r="I260" s="15">
        <f t="shared" si="36"/>
        <v>0</v>
      </c>
      <c r="J260" s="15">
        <f t="shared" si="30"/>
        <v>0</v>
      </c>
      <c r="K260" s="15">
        <f t="shared" si="37"/>
        <v>0</v>
      </c>
      <c r="L260" s="16">
        <f t="shared" si="38"/>
        <v>0</v>
      </c>
      <c r="M260" s="16">
        <f t="shared" si="39"/>
        <v>0</v>
      </c>
    </row>
    <row r="261" spans="1:13" ht="15">
      <c r="A261" s="17">
        <v>234</v>
      </c>
      <c r="B261" s="15">
        <f t="shared" si="31"/>
        <v>620.6492660044911</v>
      </c>
      <c r="C261" s="15">
        <f t="shared" si="32"/>
        <v>611.88337980678818</v>
      </c>
      <c r="D261" s="15">
        <f t="shared" si="33"/>
        <v>112342.43623678718</v>
      </c>
      <c r="E261" s="16">
        <f t="shared" si="34"/>
        <v>82657.563763212718</v>
      </c>
      <c r="F261" s="16">
        <f t="shared" si="35"/>
        <v>205755.07535662665</v>
      </c>
      <c r="G261" s="1"/>
      <c r="H261" s="17">
        <v>234</v>
      </c>
      <c r="I261" s="15">
        <f t="shared" si="36"/>
        <v>0</v>
      </c>
      <c r="J261" s="15">
        <f t="shared" si="30"/>
        <v>0</v>
      </c>
      <c r="K261" s="15">
        <f t="shared" si="37"/>
        <v>0</v>
      </c>
      <c r="L261" s="16">
        <f t="shared" si="38"/>
        <v>0</v>
      </c>
      <c r="M261" s="16">
        <f t="shared" si="39"/>
        <v>0</v>
      </c>
    </row>
    <row r="262" spans="1:13" ht="15">
      <c r="A262" s="17">
        <v>235</v>
      </c>
      <c r="B262" s="15">
        <f t="shared" si="31"/>
        <v>624.01111619534868</v>
      </c>
      <c r="C262" s="15">
        <f t="shared" si="32"/>
        <v>608.5215296159306</v>
      </c>
      <c r="D262" s="15">
        <f t="shared" si="33"/>
        <v>111718.42512059183</v>
      </c>
      <c r="E262" s="16">
        <f t="shared" si="34"/>
        <v>83281.574879408072</v>
      </c>
      <c r="F262" s="16">
        <f t="shared" si="35"/>
        <v>206363.59688624259</v>
      </c>
      <c r="G262" s="1"/>
      <c r="H262" s="17">
        <v>235</v>
      </c>
      <c r="I262" s="15">
        <f t="shared" si="36"/>
        <v>0</v>
      </c>
      <c r="J262" s="15">
        <f t="shared" si="30"/>
        <v>0</v>
      </c>
      <c r="K262" s="15">
        <f t="shared" si="37"/>
        <v>0</v>
      </c>
      <c r="L262" s="16">
        <f t="shared" si="38"/>
        <v>0</v>
      </c>
      <c r="M262" s="16">
        <f t="shared" si="39"/>
        <v>0</v>
      </c>
    </row>
    <row r="263" spans="1:13" ht="15">
      <c r="A263" s="17">
        <v>236</v>
      </c>
      <c r="B263" s="15">
        <f t="shared" si="31"/>
        <v>627.39117640807353</v>
      </c>
      <c r="C263" s="15">
        <f t="shared" si="32"/>
        <v>605.14146940320575</v>
      </c>
      <c r="D263" s="15">
        <f t="shared" si="33"/>
        <v>111091.03394418376</v>
      </c>
      <c r="E263" s="16">
        <f t="shared" si="34"/>
        <v>83908.966055816141</v>
      </c>
      <c r="F263" s="16">
        <f t="shared" si="35"/>
        <v>206968.73835564579</v>
      </c>
      <c r="G263" s="1"/>
      <c r="H263" s="17">
        <v>236</v>
      </c>
      <c r="I263" s="15">
        <f t="shared" si="36"/>
        <v>0</v>
      </c>
      <c r="J263" s="15">
        <f t="shared" si="30"/>
        <v>0</v>
      </c>
      <c r="K263" s="15">
        <f t="shared" si="37"/>
        <v>0</v>
      </c>
      <c r="L263" s="16">
        <f t="shared" si="38"/>
        <v>0</v>
      </c>
      <c r="M263" s="16">
        <f t="shared" si="39"/>
        <v>0</v>
      </c>
    </row>
    <row r="264" spans="1:13" ht="15">
      <c r="A264" s="17">
        <v>237</v>
      </c>
      <c r="B264" s="15">
        <f t="shared" si="31"/>
        <v>630.78954528028396</v>
      </c>
      <c r="C264" s="15">
        <f t="shared" si="32"/>
        <v>601.74310053099532</v>
      </c>
      <c r="D264" s="15">
        <f t="shared" si="33"/>
        <v>110460.24439890348</v>
      </c>
      <c r="E264" s="16">
        <f t="shared" si="34"/>
        <v>84539.755601096418</v>
      </c>
      <c r="F264" s="16">
        <f t="shared" si="35"/>
        <v>207570.48145617679</v>
      </c>
      <c r="G264" s="1"/>
      <c r="H264" s="17">
        <v>237</v>
      </c>
      <c r="I264" s="15">
        <f t="shared" si="36"/>
        <v>0</v>
      </c>
      <c r="J264" s="15">
        <f t="shared" si="30"/>
        <v>0</v>
      </c>
      <c r="K264" s="15">
        <f t="shared" si="37"/>
        <v>0</v>
      </c>
      <c r="L264" s="16">
        <f t="shared" si="38"/>
        <v>0</v>
      </c>
      <c r="M264" s="16">
        <f t="shared" si="39"/>
        <v>0</v>
      </c>
    </row>
    <row r="265" spans="1:13" ht="15">
      <c r="A265" s="17">
        <v>238</v>
      </c>
      <c r="B265" s="15">
        <f t="shared" si="31"/>
        <v>634.20632198388546</v>
      </c>
      <c r="C265" s="15">
        <f t="shared" si="32"/>
        <v>598.32632382739382</v>
      </c>
      <c r="D265" s="15">
        <f t="shared" si="33"/>
        <v>109826.03807691959</v>
      </c>
      <c r="E265" s="16">
        <f t="shared" si="34"/>
        <v>85173.961923080307</v>
      </c>
      <c r="F265" s="16">
        <f t="shared" si="35"/>
        <v>208168.80778000416</v>
      </c>
      <c r="G265" s="1"/>
      <c r="H265" s="17">
        <v>238</v>
      </c>
      <c r="I265" s="15">
        <f t="shared" si="36"/>
        <v>0</v>
      </c>
      <c r="J265" s="15">
        <f t="shared" si="30"/>
        <v>0</v>
      </c>
      <c r="K265" s="15">
        <f t="shared" si="37"/>
        <v>0</v>
      </c>
      <c r="L265" s="16">
        <f t="shared" si="38"/>
        <v>0</v>
      </c>
      <c r="M265" s="16">
        <f t="shared" si="39"/>
        <v>0</v>
      </c>
    </row>
    <row r="266" spans="1:13" ht="15">
      <c r="A266" s="17">
        <v>239</v>
      </c>
      <c r="B266" s="15">
        <f t="shared" si="31"/>
        <v>637.64160622796476</v>
      </c>
      <c r="C266" s="15">
        <f t="shared" si="32"/>
        <v>594.89103958331452</v>
      </c>
      <c r="D266" s="15">
        <f t="shared" si="33"/>
        <v>109188.39647069163</v>
      </c>
      <c r="E266" s="16">
        <f t="shared" si="34"/>
        <v>85811.603529308268</v>
      </c>
      <c r="F266" s="16">
        <f t="shared" si="35"/>
        <v>208763.69881958747</v>
      </c>
      <c r="G266" s="1"/>
      <c r="H266" s="17">
        <v>239</v>
      </c>
      <c r="I266" s="15">
        <f t="shared" si="36"/>
        <v>0</v>
      </c>
      <c r="J266" s="15">
        <f t="shared" si="30"/>
        <v>0</v>
      </c>
      <c r="K266" s="15">
        <f t="shared" si="37"/>
        <v>0</v>
      </c>
      <c r="L266" s="16">
        <f t="shared" si="38"/>
        <v>0</v>
      </c>
      <c r="M266" s="16">
        <f t="shared" si="39"/>
        <v>0</v>
      </c>
    </row>
    <row r="267" spans="1:13" ht="15">
      <c r="A267" s="14" t="s">
        <v>50</v>
      </c>
      <c r="B267" s="15">
        <f t="shared" si="31"/>
        <v>641.09549826169962</v>
      </c>
      <c r="C267" s="15">
        <f t="shared" si="32"/>
        <v>591.43714754957966</v>
      </c>
      <c r="D267" s="15">
        <f t="shared" si="33"/>
        <v>108547.30097242993</v>
      </c>
      <c r="E267" s="16">
        <f t="shared" si="34"/>
        <v>86452.699027569965</v>
      </c>
      <c r="F267" s="16">
        <f t="shared" si="35"/>
        <v>209355.13596713706</v>
      </c>
      <c r="G267" s="1"/>
      <c r="H267" s="14" t="s">
        <v>50</v>
      </c>
      <c r="I267" s="15">
        <f t="shared" si="36"/>
        <v>0</v>
      </c>
      <c r="J267" s="15">
        <f t="shared" si="30"/>
        <v>0</v>
      </c>
      <c r="K267" s="15">
        <f t="shared" si="37"/>
        <v>0</v>
      </c>
      <c r="L267" s="16">
        <f t="shared" si="38"/>
        <v>0</v>
      </c>
      <c r="M267" s="16">
        <f t="shared" si="39"/>
        <v>0</v>
      </c>
    </row>
    <row r="268" spans="1:13" ht="15">
      <c r="A268" s="17">
        <v>241</v>
      </c>
      <c r="B268" s="15">
        <f t="shared" si="31"/>
        <v>644.56809887728377</v>
      </c>
      <c r="C268" s="15">
        <f t="shared" si="32"/>
        <v>587.96454693399551</v>
      </c>
      <c r="D268" s="15">
        <f t="shared" si="33"/>
        <v>107902.73287355265</v>
      </c>
      <c r="E268" s="16">
        <f t="shared" si="34"/>
        <v>87097.267126447245</v>
      </c>
      <c r="F268" s="16">
        <f t="shared" si="35"/>
        <v>209943.10051407106</v>
      </c>
      <c r="G268" s="1"/>
      <c r="H268" s="17">
        <v>241</v>
      </c>
      <c r="I268" s="15">
        <f t="shared" si="36"/>
        <v>0</v>
      </c>
      <c r="J268" s="15">
        <f t="shared" si="30"/>
        <v>0</v>
      </c>
      <c r="K268" s="15">
        <f t="shared" si="37"/>
        <v>0</v>
      </c>
      <c r="L268" s="16">
        <f t="shared" si="38"/>
        <v>0</v>
      </c>
      <c r="M268" s="16">
        <f t="shared" si="39"/>
        <v>0</v>
      </c>
    </row>
    <row r="269" spans="1:13" ht="15">
      <c r="A269" s="17">
        <v>242</v>
      </c>
      <c r="B269" s="15">
        <f t="shared" si="31"/>
        <v>648.05950941286903</v>
      </c>
      <c r="C269" s="15">
        <f t="shared" si="32"/>
        <v>584.47313639841025</v>
      </c>
      <c r="D269" s="15">
        <f t="shared" si="33"/>
        <v>107254.67336413979</v>
      </c>
      <c r="E269" s="16">
        <f t="shared" si="34"/>
        <v>87745.32663586011</v>
      </c>
      <c r="F269" s="16">
        <f t="shared" si="35"/>
        <v>210527.57365046948</v>
      </c>
      <c r="G269" s="1"/>
      <c r="H269" s="17">
        <v>242</v>
      </c>
      <c r="I269" s="15">
        <f t="shared" si="36"/>
        <v>0</v>
      </c>
      <c r="J269" s="15">
        <f t="shared" si="30"/>
        <v>0</v>
      </c>
      <c r="K269" s="15">
        <f t="shared" si="37"/>
        <v>0</v>
      </c>
      <c r="L269" s="16">
        <f t="shared" si="38"/>
        <v>0</v>
      </c>
      <c r="M269" s="16">
        <f t="shared" si="39"/>
        <v>0</v>
      </c>
    </row>
    <row r="270" spans="1:13" ht="15">
      <c r="A270" s="17">
        <v>243</v>
      </c>
      <c r="B270" s="15">
        <f t="shared" si="31"/>
        <v>651.56983175552205</v>
      </c>
      <c r="C270" s="15">
        <f t="shared" si="32"/>
        <v>580.96281405575724</v>
      </c>
      <c r="D270" s="15">
        <f t="shared" si="33"/>
        <v>106603.10353238427</v>
      </c>
      <c r="E270" s="16">
        <f t="shared" si="34"/>
        <v>88396.896467615632</v>
      </c>
      <c r="F270" s="16">
        <f t="shared" si="35"/>
        <v>211108.53646452524</v>
      </c>
      <c r="G270" s="1"/>
      <c r="H270" s="17">
        <v>243</v>
      </c>
      <c r="I270" s="15">
        <f t="shared" si="36"/>
        <v>0</v>
      </c>
      <c r="J270" s="15">
        <f t="shared" si="30"/>
        <v>0</v>
      </c>
      <c r="K270" s="15">
        <f t="shared" si="37"/>
        <v>0</v>
      </c>
      <c r="L270" s="16">
        <f t="shared" si="38"/>
        <v>0</v>
      </c>
      <c r="M270" s="16">
        <f t="shared" si="39"/>
        <v>0</v>
      </c>
    </row>
    <row r="271" spans="1:13" ht="15">
      <c r="A271" s="17">
        <v>244</v>
      </c>
      <c r="B271" s="15">
        <f t="shared" si="31"/>
        <v>655.09916834419778</v>
      </c>
      <c r="C271" s="15">
        <f t="shared" si="32"/>
        <v>577.4334774670815</v>
      </c>
      <c r="D271" s="15">
        <f t="shared" si="33"/>
        <v>105948.00436404007</v>
      </c>
      <c r="E271" s="16">
        <f t="shared" si="34"/>
        <v>89051.995635959829</v>
      </c>
      <c r="F271" s="16">
        <f t="shared" si="35"/>
        <v>211685.96994199231</v>
      </c>
      <c r="G271" s="1"/>
      <c r="H271" s="17">
        <v>244</v>
      </c>
      <c r="I271" s="15">
        <f t="shared" si="36"/>
        <v>0</v>
      </c>
      <c r="J271" s="15">
        <f t="shared" si="30"/>
        <v>0</v>
      </c>
      <c r="K271" s="15">
        <f t="shared" si="37"/>
        <v>0</v>
      </c>
      <c r="L271" s="16">
        <f t="shared" si="38"/>
        <v>0</v>
      </c>
      <c r="M271" s="16">
        <f t="shared" si="39"/>
        <v>0</v>
      </c>
    </row>
    <row r="272" spans="1:13" ht="15">
      <c r="A272" s="17">
        <v>245</v>
      </c>
      <c r="B272" s="15">
        <f t="shared" si="31"/>
        <v>658.64762217272892</v>
      </c>
      <c r="C272" s="15">
        <f t="shared" si="32"/>
        <v>573.88502363855036</v>
      </c>
      <c r="D272" s="15">
        <f t="shared" si="33"/>
        <v>105289.35674186733</v>
      </c>
      <c r="E272" s="16">
        <f t="shared" si="34"/>
        <v>89710.643258132564</v>
      </c>
      <c r="F272" s="16">
        <f t="shared" si="35"/>
        <v>212259.85496563086</v>
      </c>
      <c r="G272" s="1"/>
      <c r="H272" s="17">
        <v>245</v>
      </c>
      <c r="I272" s="15">
        <f t="shared" si="36"/>
        <v>0</v>
      </c>
      <c r="J272" s="15">
        <f t="shared" si="30"/>
        <v>0</v>
      </c>
      <c r="K272" s="15">
        <f t="shared" si="37"/>
        <v>0</v>
      </c>
      <c r="L272" s="16">
        <f t="shared" si="38"/>
        <v>0</v>
      </c>
      <c r="M272" s="16">
        <f t="shared" si="39"/>
        <v>0</v>
      </c>
    </row>
    <row r="273" spans="1:13" ht="15">
      <c r="A273" s="17">
        <v>246</v>
      </c>
      <c r="B273" s="15">
        <f t="shared" si="31"/>
        <v>662.21529679283117</v>
      </c>
      <c r="C273" s="15">
        <f t="shared" si="32"/>
        <v>570.31734901844811</v>
      </c>
      <c r="D273" s="15">
        <f t="shared" si="33"/>
        <v>104627.14144507451</v>
      </c>
      <c r="E273" s="16">
        <f t="shared" si="34"/>
        <v>90372.858554925391</v>
      </c>
      <c r="F273" s="16">
        <f t="shared" si="35"/>
        <v>212830.1723146493</v>
      </c>
      <c r="G273" s="1"/>
      <c r="H273" s="17">
        <v>246</v>
      </c>
      <c r="I273" s="15">
        <f t="shared" si="36"/>
        <v>0</v>
      </c>
      <c r="J273" s="15">
        <f t="shared" si="30"/>
        <v>0</v>
      </c>
      <c r="K273" s="15">
        <f t="shared" si="37"/>
        <v>0</v>
      </c>
      <c r="L273" s="16">
        <f t="shared" si="38"/>
        <v>0</v>
      </c>
      <c r="M273" s="16">
        <f t="shared" si="39"/>
        <v>0</v>
      </c>
    </row>
    <row r="274" spans="1:13" ht="15">
      <c r="A274" s="17">
        <v>247</v>
      </c>
      <c r="B274" s="15">
        <f t="shared" si="31"/>
        <v>665.80229631712564</v>
      </c>
      <c r="C274" s="15">
        <f t="shared" si="32"/>
        <v>566.73034949415364</v>
      </c>
      <c r="D274" s="15">
        <f t="shared" si="33"/>
        <v>103961.33914875738</v>
      </c>
      <c r="E274" s="16">
        <f t="shared" si="34"/>
        <v>91038.660851242515</v>
      </c>
      <c r="F274" s="16">
        <f t="shared" si="35"/>
        <v>213396.90266414345</v>
      </c>
      <c r="G274" s="1"/>
      <c r="H274" s="17">
        <v>247</v>
      </c>
      <c r="I274" s="15">
        <f t="shared" si="36"/>
        <v>0</v>
      </c>
      <c r="J274" s="15">
        <f t="shared" si="30"/>
        <v>0</v>
      </c>
      <c r="K274" s="15">
        <f t="shared" si="37"/>
        <v>0</v>
      </c>
      <c r="L274" s="16">
        <f t="shared" si="38"/>
        <v>0</v>
      </c>
      <c r="M274" s="16">
        <f t="shared" si="39"/>
        <v>0</v>
      </c>
    </row>
    <row r="275" spans="1:13" ht="15">
      <c r="A275" s="17">
        <v>248</v>
      </c>
      <c r="B275" s="15">
        <f t="shared" si="31"/>
        <v>669.40872542217676</v>
      </c>
      <c r="C275" s="15">
        <f t="shared" si="32"/>
        <v>563.12392038910252</v>
      </c>
      <c r="D275" s="15">
        <f t="shared" si="33"/>
        <v>103291.9304233352</v>
      </c>
      <c r="E275" s="16">
        <f t="shared" si="34"/>
        <v>91708.069576664697</v>
      </c>
      <c r="F275" s="16">
        <f t="shared" si="35"/>
        <v>213960.02658453255</v>
      </c>
      <c r="G275" s="1"/>
      <c r="H275" s="17">
        <v>248</v>
      </c>
      <c r="I275" s="15">
        <f t="shared" si="36"/>
        <v>0</v>
      </c>
      <c r="J275" s="15">
        <f t="shared" si="30"/>
        <v>0</v>
      </c>
      <c r="K275" s="15">
        <f t="shared" si="37"/>
        <v>0</v>
      </c>
      <c r="L275" s="16">
        <f t="shared" si="38"/>
        <v>0</v>
      </c>
      <c r="M275" s="16">
        <f t="shared" si="39"/>
        <v>0</v>
      </c>
    </row>
    <row r="276" spans="1:13" ht="15">
      <c r="A276" s="17">
        <v>249</v>
      </c>
      <c r="B276" s="15">
        <f t="shared" si="31"/>
        <v>673.03468935154694</v>
      </c>
      <c r="C276" s="15">
        <f t="shared" si="32"/>
        <v>559.49795645973234</v>
      </c>
      <c r="D276" s="15">
        <f t="shared" si="33"/>
        <v>102618.89573398365</v>
      </c>
      <c r="E276" s="16">
        <f t="shared" si="34"/>
        <v>92381.104266016249</v>
      </c>
      <c r="F276" s="16">
        <f t="shared" si="35"/>
        <v>214519.52454099228</v>
      </c>
      <c r="G276" s="1"/>
      <c r="H276" s="17">
        <v>249</v>
      </c>
      <c r="I276" s="15">
        <f t="shared" si="36"/>
        <v>0</v>
      </c>
      <c r="J276" s="15">
        <f t="shared" si="30"/>
        <v>0</v>
      </c>
      <c r="K276" s="15">
        <f t="shared" si="37"/>
        <v>0</v>
      </c>
      <c r="L276" s="16">
        <f t="shared" si="38"/>
        <v>0</v>
      </c>
      <c r="M276" s="16">
        <f t="shared" si="39"/>
        <v>0</v>
      </c>
    </row>
    <row r="277" spans="1:13" ht="15">
      <c r="A277" s="17">
        <v>250</v>
      </c>
      <c r="B277" s="15">
        <f t="shared" si="31"/>
        <v>676.68029391886785</v>
      </c>
      <c r="C277" s="15">
        <f t="shared" si="32"/>
        <v>555.85235189241143</v>
      </c>
      <c r="D277" s="15">
        <f t="shared" si="33"/>
        <v>101942.21544006479</v>
      </c>
      <c r="E277" s="16">
        <f t="shared" si="34"/>
        <v>93057.784559935113</v>
      </c>
      <c r="F277" s="16">
        <f t="shared" si="35"/>
        <v>215075.3768928847</v>
      </c>
      <c r="G277" s="1"/>
      <c r="H277" s="17">
        <v>250</v>
      </c>
      <c r="I277" s="15">
        <f t="shared" si="36"/>
        <v>0</v>
      </c>
      <c r="J277" s="15">
        <f t="shared" si="30"/>
        <v>0</v>
      </c>
      <c r="K277" s="15">
        <f t="shared" si="37"/>
        <v>0</v>
      </c>
      <c r="L277" s="16">
        <f t="shared" si="38"/>
        <v>0</v>
      </c>
      <c r="M277" s="16">
        <f t="shared" si="39"/>
        <v>0</v>
      </c>
    </row>
    <row r="278" spans="1:13" ht="15">
      <c r="A278" s="17">
        <v>251</v>
      </c>
      <c r="B278" s="15">
        <f t="shared" si="31"/>
        <v>680.34564551092831</v>
      </c>
      <c r="C278" s="15">
        <f t="shared" si="32"/>
        <v>552.18700030035097</v>
      </c>
      <c r="D278" s="15">
        <f t="shared" si="33"/>
        <v>101261.86979455386</v>
      </c>
      <c r="E278" s="16">
        <f t="shared" si="34"/>
        <v>93738.130205446039</v>
      </c>
      <c r="F278" s="16">
        <f t="shared" si="35"/>
        <v>215627.56389318506</v>
      </c>
      <c r="G278" s="1"/>
      <c r="H278" s="17">
        <v>251</v>
      </c>
      <c r="I278" s="15">
        <f t="shared" si="36"/>
        <v>0</v>
      </c>
      <c r="J278" s="15">
        <f t="shared" si="30"/>
        <v>0</v>
      </c>
      <c r="K278" s="15">
        <f t="shared" si="37"/>
        <v>0</v>
      </c>
      <c r="L278" s="16">
        <f t="shared" si="38"/>
        <v>0</v>
      </c>
      <c r="M278" s="16">
        <f t="shared" si="39"/>
        <v>0</v>
      </c>
    </row>
    <row r="279" spans="1:13" ht="15">
      <c r="A279" s="14" t="s">
        <v>51</v>
      </c>
      <c r="B279" s="15">
        <f t="shared" si="31"/>
        <v>684.03085109077915</v>
      </c>
      <c r="C279" s="15">
        <f t="shared" si="32"/>
        <v>548.50179472050013</v>
      </c>
      <c r="D279" s="15">
        <f t="shared" si="33"/>
        <v>100577.83894346308</v>
      </c>
      <c r="E279" s="16">
        <f t="shared" si="34"/>
        <v>94422.161056536817</v>
      </c>
      <c r="F279" s="16">
        <f t="shared" si="35"/>
        <v>216176.06568790556</v>
      </c>
      <c r="G279" s="1"/>
      <c r="H279" s="14" t="s">
        <v>51</v>
      </c>
      <c r="I279" s="15">
        <f t="shared" si="36"/>
        <v>0</v>
      </c>
      <c r="J279" s="15">
        <f t="shared" si="30"/>
        <v>0</v>
      </c>
      <c r="K279" s="15">
        <f t="shared" si="37"/>
        <v>0</v>
      </c>
      <c r="L279" s="16">
        <f t="shared" si="38"/>
        <v>0</v>
      </c>
      <c r="M279" s="16">
        <f t="shared" si="39"/>
        <v>0</v>
      </c>
    </row>
    <row r="280" spans="1:13" ht="15">
      <c r="A280" s="17">
        <v>253</v>
      </c>
      <c r="B280" s="15">
        <f t="shared" si="31"/>
        <v>687.73601820085423</v>
      </c>
      <c r="C280" s="15">
        <f t="shared" si="32"/>
        <v>544.79662761042505</v>
      </c>
      <c r="D280" s="15">
        <f t="shared" si="33"/>
        <v>99890.102925262225</v>
      </c>
      <c r="E280" s="16">
        <f t="shared" si="34"/>
        <v>95109.897074737673</v>
      </c>
      <c r="F280" s="16">
        <f t="shared" si="35"/>
        <v>216720.86231551599</v>
      </c>
      <c r="G280" s="1"/>
      <c r="H280" s="17">
        <v>253</v>
      </c>
      <c r="I280" s="15">
        <f t="shared" si="36"/>
        <v>0</v>
      </c>
      <c r="J280" s="15">
        <f t="shared" si="30"/>
        <v>0</v>
      </c>
      <c r="K280" s="15">
        <f t="shared" si="37"/>
        <v>0</v>
      </c>
      <c r="L280" s="16">
        <f t="shared" si="38"/>
        <v>0</v>
      </c>
      <c r="M280" s="16">
        <f t="shared" si="39"/>
        <v>0</v>
      </c>
    </row>
    <row r="281" spans="1:13" ht="15">
      <c r="A281" s="17">
        <v>254</v>
      </c>
      <c r="B281" s="15">
        <f t="shared" si="31"/>
        <v>691.46125496610887</v>
      </c>
      <c r="C281" s="15">
        <f t="shared" si="32"/>
        <v>541.07139084517041</v>
      </c>
      <c r="D281" s="15">
        <f t="shared" si="33"/>
        <v>99198.641670296114</v>
      </c>
      <c r="E281" s="16">
        <f t="shared" si="34"/>
        <v>95801.358329703784</v>
      </c>
      <c r="F281" s="16">
        <f t="shared" si="35"/>
        <v>217261.93370636116</v>
      </c>
      <c r="G281" s="1"/>
      <c r="H281" s="17">
        <v>254</v>
      </c>
      <c r="I281" s="15">
        <f t="shared" si="36"/>
        <v>0</v>
      </c>
      <c r="J281" s="15">
        <f t="shared" si="30"/>
        <v>0</v>
      </c>
      <c r="K281" s="15">
        <f t="shared" si="37"/>
        <v>0</v>
      </c>
      <c r="L281" s="16">
        <f t="shared" si="38"/>
        <v>0</v>
      </c>
      <c r="M281" s="16">
        <f t="shared" si="39"/>
        <v>0</v>
      </c>
    </row>
    <row r="282" spans="1:13" ht="15">
      <c r="A282" s="17">
        <v>255</v>
      </c>
      <c r="B282" s="15">
        <f t="shared" si="31"/>
        <v>695.20667009717533</v>
      </c>
      <c r="C282" s="15">
        <f t="shared" si="32"/>
        <v>537.32597571410395</v>
      </c>
      <c r="D282" s="15">
        <f t="shared" si="33"/>
        <v>98503.435000198937</v>
      </c>
      <c r="E282" s="16">
        <f t="shared" si="34"/>
        <v>96496.564999800961</v>
      </c>
      <c r="F282" s="16">
        <f t="shared" si="35"/>
        <v>217799.25968207527</v>
      </c>
      <c r="G282" s="1"/>
      <c r="H282" s="17">
        <v>255</v>
      </c>
      <c r="I282" s="15">
        <f t="shared" si="36"/>
        <v>0</v>
      </c>
      <c r="J282" s="15">
        <f t="shared" si="30"/>
        <v>0</v>
      </c>
      <c r="K282" s="15">
        <f t="shared" si="37"/>
        <v>0</v>
      </c>
      <c r="L282" s="16">
        <f t="shared" si="38"/>
        <v>0</v>
      </c>
      <c r="M282" s="16">
        <f t="shared" si="39"/>
        <v>0</v>
      </c>
    </row>
    <row r="283" spans="1:13" ht="15">
      <c r="A283" s="17">
        <v>256</v>
      </c>
      <c r="B283" s="15">
        <f t="shared" si="31"/>
        <v>698.97237289353507</v>
      </c>
      <c r="C283" s="15">
        <f t="shared" si="32"/>
        <v>533.56027291774421</v>
      </c>
      <c r="D283" s="15">
        <f t="shared" si="33"/>
        <v>97804.462627305402</v>
      </c>
      <c r="E283" s="16">
        <f t="shared" si="34"/>
        <v>97195.537372694496</v>
      </c>
      <c r="F283" s="16">
        <f t="shared" si="35"/>
        <v>218332.819954993</v>
      </c>
      <c r="G283" s="1"/>
      <c r="H283" s="17">
        <v>256</v>
      </c>
      <c r="I283" s="15">
        <f t="shared" si="36"/>
        <v>0</v>
      </c>
      <c r="J283" s="15">
        <f t="shared" si="30"/>
        <v>0</v>
      </c>
      <c r="K283" s="15">
        <f t="shared" si="37"/>
        <v>0</v>
      </c>
      <c r="L283" s="16">
        <f t="shared" si="38"/>
        <v>0</v>
      </c>
      <c r="M283" s="16">
        <f t="shared" si="39"/>
        <v>0</v>
      </c>
    </row>
    <row r="284" spans="1:13" ht="15">
      <c r="A284" s="17">
        <v>257</v>
      </c>
      <c r="B284" s="15">
        <f t="shared" si="31"/>
        <v>702.75847324670838</v>
      </c>
      <c r="C284" s="15">
        <f t="shared" si="32"/>
        <v>529.7741725645709</v>
      </c>
      <c r="D284" s="15">
        <f t="shared" si="33"/>
        <v>97101.704154058694</v>
      </c>
      <c r="E284" s="16">
        <f t="shared" si="34"/>
        <v>97898.295845941204</v>
      </c>
      <c r="F284" s="16">
        <f t="shared" si="35"/>
        <v>218862.59412755756</v>
      </c>
      <c r="G284" s="1"/>
      <c r="H284" s="17">
        <v>257</v>
      </c>
      <c r="I284" s="15">
        <f t="shared" si="36"/>
        <v>0</v>
      </c>
      <c r="J284" s="15">
        <f t="shared" si="30"/>
        <v>0</v>
      </c>
      <c r="K284" s="15">
        <f t="shared" si="37"/>
        <v>0</v>
      </c>
      <c r="L284" s="16">
        <f t="shared" si="38"/>
        <v>0</v>
      </c>
      <c r="M284" s="16">
        <f t="shared" si="39"/>
        <v>0</v>
      </c>
    </row>
    <row r="285" spans="1:13" ht="15">
      <c r="A285" s="17">
        <v>258</v>
      </c>
      <c r="B285" s="15">
        <f t="shared" si="31"/>
        <v>706.56508164346133</v>
      </c>
      <c r="C285" s="15">
        <f t="shared" si="32"/>
        <v>525.96756416781795</v>
      </c>
      <c r="D285" s="15">
        <f t="shared" si="33"/>
        <v>96395.13907241523</v>
      </c>
      <c r="E285" s="16">
        <f t="shared" si="34"/>
        <v>98604.860927584668</v>
      </c>
      <c r="F285" s="16">
        <f t="shared" si="35"/>
        <v>219388.56169172536</v>
      </c>
      <c r="G285" s="1"/>
      <c r="H285" s="17">
        <v>258</v>
      </c>
      <c r="I285" s="15">
        <f t="shared" si="36"/>
        <v>0</v>
      </c>
      <c r="J285" s="15">
        <f t="shared" ref="J285:J348" si="40">SUM(K284*(RATE2/12))</f>
        <v>0</v>
      </c>
      <c r="K285" s="15">
        <f t="shared" si="37"/>
        <v>0</v>
      </c>
      <c r="L285" s="16">
        <f t="shared" si="38"/>
        <v>0</v>
      </c>
      <c r="M285" s="16">
        <f t="shared" si="39"/>
        <v>0</v>
      </c>
    </row>
    <row r="286" spans="1:13" ht="15">
      <c r="A286" s="17">
        <v>259</v>
      </c>
      <c r="B286" s="15">
        <f t="shared" ref="B286:B349" si="41">IF(D285&lt;=0,0,SUM($B$12-C286))</f>
        <v>710.39230916903011</v>
      </c>
      <c r="C286" s="15">
        <f t="shared" ref="C286:C349" si="42">SUM(D285*(RATE/12))</f>
        <v>522.14033664224917</v>
      </c>
      <c r="D286" s="15">
        <f t="shared" ref="D286:D349" si="43">IF(SUM(D285-B286-$B$14)&lt;=0,0,SUM(D285-B286-$B$14))</f>
        <v>95684.746763246207</v>
      </c>
      <c r="E286" s="16">
        <f t="shared" ref="E286:E349" si="44">IF($D285&lt;=0,0,SUM(B286,E285,$B$15))</f>
        <v>99315.253236753691</v>
      </c>
      <c r="F286" s="16">
        <f t="shared" ref="F286:F349" si="45">IF($D285&lt;=0,0,SUM(C286,F285))</f>
        <v>219910.70202836761</v>
      </c>
      <c r="G286" s="1"/>
      <c r="H286" s="17">
        <v>259</v>
      </c>
      <c r="I286" s="15">
        <f t="shared" ref="I286:I349" si="46">IF(K285&lt;=0,0,SUM($E$12-J286))</f>
        <v>0</v>
      </c>
      <c r="J286" s="15">
        <f t="shared" si="40"/>
        <v>0</v>
      </c>
      <c r="K286" s="15">
        <f t="shared" ref="K286:K349" si="47">IF(SUM(K285-I286-$E$14)&lt;=0,0,SUM(K285-I286-$E$14))</f>
        <v>0</v>
      </c>
      <c r="L286" s="16">
        <f t="shared" ref="L286:L349" si="48">IF($K285&lt;=0,0,SUM(I286,L285,$E$14))</f>
        <v>0</v>
      </c>
      <c r="M286" s="16">
        <f t="shared" ref="M286:M349" si="49">IF($K285&lt;=0,0,SUM(J286,M285))</f>
        <v>0</v>
      </c>
    </row>
    <row r="287" spans="1:13" ht="15">
      <c r="A287" s="17">
        <v>260</v>
      </c>
      <c r="B287" s="15">
        <f t="shared" si="41"/>
        <v>714.24026751036229</v>
      </c>
      <c r="C287" s="15">
        <f t="shared" si="42"/>
        <v>518.29237830091699</v>
      </c>
      <c r="D287" s="15">
        <f t="shared" si="43"/>
        <v>94970.506495735841</v>
      </c>
      <c r="E287" s="16">
        <f t="shared" si="44"/>
        <v>100029.49350426406</v>
      </c>
      <c r="F287" s="16">
        <f t="shared" si="45"/>
        <v>220428.99440666853</v>
      </c>
      <c r="G287" s="1"/>
      <c r="H287" s="17">
        <v>260</v>
      </c>
      <c r="I287" s="15">
        <f t="shared" si="46"/>
        <v>0</v>
      </c>
      <c r="J287" s="15">
        <f t="shared" si="40"/>
        <v>0</v>
      </c>
      <c r="K287" s="15">
        <f t="shared" si="47"/>
        <v>0</v>
      </c>
      <c r="L287" s="16">
        <f t="shared" si="48"/>
        <v>0</v>
      </c>
      <c r="M287" s="16">
        <f t="shared" si="49"/>
        <v>0</v>
      </c>
    </row>
    <row r="288" spans="1:13" ht="15">
      <c r="A288" s="17">
        <v>261</v>
      </c>
      <c r="B288" s="15">
        <f t="shared" si="41"/>
        <v>718.10906895937683</v>
      </c>
      <c r="C288" s="15">
        <f t="shared" si="42"/>
        <v>514.42357685190245</v>
      </c>
      <c r="D288" s="15">
        <f t="shared" si="43"/>
        <v>94252.397426776457</v>
      </c>
      <c r="E288" s="16">
        <f t="shared" si="44"/>
        <v>100747.60257322344</v>
      </c>
      <c r="F288" s="16">
        <f t="shared" si="45"/>
        <v>220943.41798352043</v>
      </c>
      <c r="G288" s="1"/>
      <c r="H288" s="17">
        <v>261</v>
      </c>
      <c r="I288" s="15">
        <f t="shared" si="46"/>
        <v>0</v>
      </c>
      <c r="J288" s="15">
        <f t="shared" si="40"/>
        <v>0</v>
      </c>
      <c r="K288" s="15">
        <f t="shared" si="47"/>
        <v>0</v>
      </c>
      <c r="L288" s="16">
        <f t="shared" si="48"/>
        <v>0</v>
      </c>
      <c r="M288" s="16">
        <f t="shared" si="49"/>
        <v>0</v>
      </c>
    </row>
    <row r="289" spans="1:13" ht="15">
      <c r="A289" s="17">
        <v>262</v>
      </c>
      <c r="B289" s="15">
        <f t="shared" si="41"/>
        <v>721.99882641624015</v>
      </c>
      <c r="C289" s="15">
        <f t="shared" si="42"/>
        <v>510.53381939503913</v>
      </c>
      <c r="D289" s="15">
        <f t="shared" si="43"/>
        <v>93530.398600360219</v>
      </c>
      <c r="E289" s="16">
        <f t="shared" si="44"/>
        <v>101469.60139963968</v>
      </c>
      <c r="F289" s="16">
        <f t="shared" si="45"/>
        <v>221453.95180291546</v>
      </c>
      <c r="G289" s="1"/>
      <c r="H289" s="17">
        <v>262</v>
      </c>
      <c r="I289" s="15">
        <f t="shared" si="46"/>
        <v>0</v>
      </c>
      <c r="J289" s="15">
        <f t="shared" si="40"/>
        <v>0</v>
      </c>
      <c r="K289" s="15">
        <f t="shared" si="47"/>
        <v>0</v>
      </c>
      <c r="L289" s="16">
        <f t="shared" si="48"/>
        <v>0</v>
      </c>
      <c r="M289" s="16">
        <f t="shared" si="49"/>
        <v>0</v>
      </c>
    </row>
    <row r="290" spans="1:13" ht="15">
      <c r="A290" s="17">
        <v>263</v>
      </c>
      <c r="B290" s="15">
        <f t="shared" si="41"/>
        <v>725.90965339266143</v>
      </c>
      <c r="C290" s="15">
        <f t="shared" si="42"/>
        <v>506.62299241861786</v>
      </c>
      <c r="D290" s="15">
        <f t="shared" si="43"/>
        <v>92804.488946967555</v>
      </c>
      <c r="E290" s="16">
        <f t="shared" si="44"/>
        <v>102195.51105303234</v>
      </c>
      <c r="F290" s="16">
        <f t="shared" si="45"/>
        <v>221960.57479533408</v>
      </c>
      <c r="G290" s="1"/>
      <c r="H290" s="17">
        <v>263</v>
      </c>
      <c r="I290" s="15">
        <f t="shared" si="46"/>
        <v>0</v>
      </c>
      <c r="J290" s="15">
        <f t="shared" si="40"/>
        <v>0</v>
      </c>
      <c r="K290" s="15">
        <f t="shared" si="47"/>
        <v>0</v>
      </c>
      <c r="L290" s="16">
        <f t="shared" si="48"/>
        <v>0</v>
      </c>
      <c r="M290" s="16">
        <f t="shared" si="49"/>
        <v>0</v>
      </c>
    </row>
    <row r="291" spans="1:13" ht="15">
      <c r="A291" s="14" t="s">
        <v>52</v>
      </c>
      <c r="B291" s="15">
        <f t="shared" si="41"/>
        <v>729.84166401520497</v>
      </c>
      <c r="C291" s="15">
        <f t="shared" si="42"/>
        <v>502.69098179607425</v>
      </c>
      <c r="D291" s="15">
        <f t="shared" si="43"/>
        <v>92074.647282952355</v>
      </c>
      <c r="E291" s="16">
        <f t="shared" si="44"/>
        <v>102925.35271704754</v>
      </c>
      <c r="F291" s="16">
        <f t="shared" si="45"/>
        <v>222463.26577713015</v>
      </c>
      <c r="G291" s="1"/>
      <c r="H291" s="14" t="s">
        <v>52</v>
      </c>
      <c r="I291" s="15">
        <f t="shared" si="46"/>
        <v>0</v>
      </c>
      <c r="J291" s="15">
        <f t="shared" si="40"/>
        <v>0</v>
      </c>
      <c r="K291" s="15">
        <f t="shared" si="47"/>
        <v>0</v>
      </c>
      <c r="L291" s="16">
        <f t="shared" si="48"/>
        <v>0</v>
      </c>
      <c r="M291" s="16">
        <f t="shared" si="49"/>
        <v>0</v>
      </c>
    </row>
    <row r="292" spans="1:13" ht="15">
      <c r="A292" s="17">
        <v>265</v>
      </c>
      <c r="B292" s="15">
        <f t="shared" si="41"/>
        <v>733.79497302862069</v>
      </c>
      <c r="C292" s="15">
        <f t="shared" si="42"/>
        <v>498.73767278265859</v>
      </c>
      <c r="D292" s="15">
        <f t="shared" si="43"/>
        <v>91340.852309923735</v>
      </c>
      <c r="E292" s="16">
        <f t="shared" si="44"/>
        <v>103659.14769007616</v>
      </c>
      <c r="F292" s="16">
        <f t="shared" si="45"/>
        <v>222962.00344991279</v>
      </c>
      <c r="G292" s="1"/>
      <c r="H292" s="17">
        <v>265</v>
      </c>
      <c r="I292" s="15">
        <f t="shared" si="46"/>
        <v>0</v>
      </c>
      <c r="J292" s="15">
        <f t="shared" si="40"/>
        <v>0</v>
      </c>
      <c r="K292" s="15">
        <f t="shared" si="47"/>
        <v>0</v>
      </c>
      <c r="L292" s="16">
        <f t="shared" si="48"/>
        <v>0</v>
      </c>
      <c r="M292" s="16">
        <f t="shared" si="49"/>
        <v>0</v>
      </c>
    </row>
    <row r="293" spans="1:13" ht="15">
      <c r="A293" s="17">
        <v>266</v>
      </c>
      <c r="B293" s="15">
        <f t="shared" si="41"/>
        <v>737.76969579919239</v>
      </c>
      <c r="C293" s="15">
        <f t="shared" si="42"/>
        <v>494.76295001208689</v>
      </c>
      <c r="D293" s="15">
        <f t="shared" si="43"/>
        <v>90603.082614124549</v>
      </c>
      <c r="E293" s="16">
        <f t="shared" si="44"/>
        <v>104396.91738587535</v>
      </c>
      <c r="F293" s="16">
        <f t="shared" si="45"/>
        <v>223456.76639992488</v>
      </c>
      <c r="G293" s="1"/>
      <c r="H293" s="17">
        <v>266</v>
      </c>
      <c r="I293" s="15">
        <f t="shared" si="46"/>
        <v>0</v>
      </c>
      <c r="J293" s="15">
        <f t="shared" si="40"/>
        <v>0</v>
      </c>
      <c r="K293" s="15">
        <f t="shared" si="47"/>
        <v>0</v>
      </c>
      <c r="L293" s="16">
        <f t="shared" si="48"/>
        <v>0</v>
      </c>
      <c r="M293" s="16">
        <f t="shared" si="49"/>
        <v>0</v>
      </c>
    </row>
    <row r="294" spans="1:13" ht="15">
      <c r="A294" s="17">
        <v>267</v>
      </c>
      <c r="B294" s="15">
        <f t="shared" si="41"/>
        <v>741.76594831810462</v>
      </c>
      <c r="C294" s="15">
        <f t="shared" si="42"/>
        <v>490.76669749317466</v>
      </c>
      <c r="D294" s="15">
        <f t="shared" si="43"/>
        <v>89861.316665806444</v>
      </c>
      <c r="E294" s="16">
        <f t="shared" si="44"/>
        <v>105138.68333419345</v>
      </c>
      <c r="F294" s="16">
        <f t="shared" si="45"/>
        <v>223947.53309741805</v>
      </c>
      <c r="G294" s="1"/>
      <c r="H294" s="17">
        <v>267</v>
      </c>
      <c r="I294" s="15">
        <f t="shared" si="46"/>
        <v>0</v>
      </c>
      <c r="J294" s="15">
        <f t="shared" si="40"/>
        <v>0</v>
      </c>
      <c r="K294" s="15">
        <f t="shared" si="47"/>
        <v>0</v>
      </c>
      <c r="L294" s="16">
        <f t="shared" si="48"/>
        <v>0</v>
      </c>
      <c r="M294" s="16">
        <f t="shared" si="49"/>
        <v>0</v>
      </c>
    </row>
    <row r="295" spans="1:13" ht="15">
      <c r="A295" s="17">
        <v>268</v>
      </c>
      <c r="B295" s="15">
        <f t="shared" si="41"/>
        <v>745.78384720482768</v>
      </c>
      <c r="C295" s="15">
        <f t="shared" si="42"/>
        <v>486.7487986064516</v>
      </c>
      <c r="D295" s="15">
        <f t="shared" si="43"/>
        <v>89115.532818601612</v>
      </c>
      <c r="E295" s="16">
        <f t="shared" si="44"/>
        <v>105884.46718139829</v>
      </c>
      <c r="F295" s="16">
        <f t="shared" si="45"/>
        <v>224434.28189602451</v>
      </c>
      <c r="G295" s="1"/>
      <c r="H295" s="17">
        <v>268</v>
      </c>
      <c r="I295" s="15">
        <f t="shared" si="46"/>
        <v>0</v>
      </c>
      <c r="J295" s="15">
        <f t="shared" si="40"/>
        <v>0</v>
      </c>
      <c r="K295" s="15">
        <f t="shared" si="47"/>
        <v>0</v>
      </c>
      <c r="L295" s="16">
        <f t="shared" si="48"/>
        <v>0</v>
      </c>
      <c r="M295" s="16">
        <f t="shared" si="49"/>
        <v>0</v>
      </c>
    </row>
    <row r="296" spans="1:13" ht="15">
      <c r="A296" s="17">
        <v>269</v>
      </c>
      <c r="B296" s="15">
        <f t="shared" si="41"/>
        <v>749.82350971052051</v>
      </c>
      <c r="C296" s="15">
        <f t="shared" si="42"/>
        <v>482.70913610075877</v>
      </c>
      <c r="D296" s="15">
        <f t="shared" si="43"/>
        <v>88365.709308891091</v>
      </c>
      <c r="E296" s="16">
        <f t="shared" si="44"/>
        <v>106634.29069110881</v>
      </c>
      <c r="F296" s="16">
        <f t="shared" si="45"/>
        <v>224916.99103212525</v>
      </c>
      <c r="G296" s="1"/>
      <c r="H296" s="17">
        <v>269</v>
      </c>
      <c r="I296" s="15">
        <f t="shared" si="46"/>
        <v>0</v>
      </c>
      <c r="J296" s="15">
        <f t="shared" si="40"/>
        <v>0</v>
      </c>
      <c r="K296" s="15">
        <f t="shared" si="47"/>
        <v>0</v>
      </c>
      <c r="L296" s="16">
        <f t="shared" si="48"/>
        <v>0</v>
      </c>
      <c r="M296" s="16">
        <f t="shared" si="49"/>
        <v>0</v>
      </c>
    </row>
    <row r="297" spans="1:13" ht="15">
      <c r="A297" s="17">
        <v>270</v>
      </c>
      <c r="B297" s="15">
        <f t="shared" si="41"/>
        <v>753.88505372145255</v>
      </c>
      <c r="C297" s="15">
        <f t="shared" si="42"/>
        <v>478.64759208982679</v>
      </c>
      <c r="D297" s="15">
        <f t="shared" si="43"/>
        <v>87611.824255169646</v>
      </c>
      <c r="E297" s="16">
        <f t="shared" si="44"/>
        <v>107388.17574483025</v>
      </c>
      <c r="F297" s="16">
        <f t="shared" si="45"/>
        <v>225395.63862421509</v>
      </c>
      <c r="G297" s="1"/>
      <c r="H297" s="17">
        <v>270</v>
      </c>
      <c r="I297" s="15">
        <f t="shared" si="46"/>
        <v>0</v>
      </c>
      <c r="J297" s="15">
        <f t="shared" si="40"/>
        <v>0</v>
      </c>
      <c r="K297" s="15">
        <f t="shared" si="47"/>
        <v>0</v>
      </c>
      <c r="L297" s="16">
        <f t="shared" si="48"/>
        <v>0</v>
      </c>
      <c r="M297" s="16">
        <f t="shared" si="49"/>
        <v>0</v>
      </c>
    </row>
    <row r="298" spans="1:13" ht="15">
      <c r="A298" s="17">
        <v>271</v>
      </c>
      <c r="B298" s="15">
        <f t="shared" si="41"/>
        <v>757.96859776244366</v>
      </c>
      <c r="C298" s="15">
        <f t="shared" si="42"/>
        <v>474.56404804883562</v>
      </c>
      <c r="D298" s="15">
        <f t="shared" si="43"/>
        <v>86853.855657407199</v>
      </c>
      <c r="E298" s="16">
        <f t="shared" si="44"/>
        <v>108146.1443425927</v>
      </c>
      <c r="F298" s="16">
        <f t="shared" si="45"/>
        <v>225870.20267226393</v>
      </c>
      <c r="G298" s="1"/>
      <c r="H298" s="17">
        <v>271</v>
      </c>
      <c r="I298" s="15">
        <f t="shared" si="46"/>
        <v>0</v>
      </c>
      <c r="J298" s="15">
        <f t="shared" si="40"/>
        <v>0</v>
      </c>
      <c r="K298" s="15">
        <f t="shared" si="47"/>
        <v>0</v>
      </c>
      <c r="L298" s="16">
        <f t="shared" si="48"/>
        <v>0</v>
      </c>
      <c r="M298" s="16">
        <f t="shared" si="49"/>
        <v>0</v>
      </c>
    </row>
    <row r="299" spans="1:13" ht="15">
      <c r="A299" s="17">
        <v>272</v>
      </c>
      <c r="B299" s="15">
        <f t="shared" si="41"/>
        <v>762.07426100032353</v>
      </c>
      <c r="C299" s="15">
        <f t="shared" si="42"/>
        <v>470.45838481095569</v>
      </c>
      <c r="D299" s="15">
        <f t="shared" si="43"/>
        <v>86091.781396406877</v>
      </c>
      <c r="E299" s="16">
        <f t="shared" si="44"/>
        <v>108908.21860359302</v>
      </c>
      <c r="F299" s="16">
        <f t="shared" si="45"/>
        <v>226340.66105707487</v>
      </c>
      <c r="G299" s="1"/>
      <c r="H299" s="17">
        <v>272</v>
      </c>
      <c r="I299" s="15">
        <f t="shared" si="46"/>
        <v>0</v>
      </c>
      <c r="J299" s="15">
        <f t="shared" si="40"/>
        <v>0</v>
      </c>
      <c r="K299" s="15">
        <f t="shared" si="47"/>
        <v>0</v>
      </c>
      <c r="L299" s="16">
        <f t="shared" si="48"/>
        <v>0</v>
      </c>
      <c r="M299" s="16">
        <f t="shared" si="49"/>
        <v>0</v>
      </c>
    </row>
    <row r="300" spans="1:13" ht="15">
      <c r="A300" s="17">
        <v>273</v>
      </c>
      <c r="B300" s="15">
        <f t="shared" si="41"/>
        <v>766.20216324740863</v>
      </c>
      <c r="C300" s="15">
        <f t="shared" si="42"/>
        <v>466.33048256387059</v>
      </c>
      <c r="D300" s="15">
        <f t="shared" si="43"/>
        <v>85325.579233159471</v>
      </c>
      <c r="E300" s="16">
        <f t="shared" si="44"/>
        <v>109674.42076684043</v>
      </c>
      <c r="F300" s="16">
        <f t="shared" si="45"/>
        <v>226806.99153963875</v>
      </c>
      <c r="G300" s="1"/>
      <c r="H300" s="17">
        <v>273</v>
      </c>
      <c r="I300" s="15">
        <f t="shared" si="46"/>
        <v>0</v>
      </c>
      <c r="J300" s="15">
        <f t="shared" si="40"/>
        <v>0</v>
      </c>
      <c r="K300" s="15">
        <f t="shared" si="47"/>
        <v>0</v>
      </c>
      <c r="L300" s="16">
        <f t="shared" si="48"/>
        <v>0</v>
      </c>
      <c r="M300" s="16">
        <f t="shared" si="49"/>
        <v>0</v>
      </c>
    </row>
    <row r="301" spans="1:13" ht="15">
      <c r="A301" s="17">
        <v>274</v>
      </c>
      <c r="B301" s="15">
        <f t="shared" si="41"/>
        <v>770.35242496499882</v>
      </c>
      <c r="C301" s="15">
        <f t="shared" si="42"/>
        <v>462.18022084628046</v>
      </c>
      <c r="D301" s="15">
        <f t="shared" si="43"/>
        <v>84555.226808194479</v>
      </c>
      <c r="E301" s="16">
        <f t="shared" si="44"/>
        <v>110444.77319180542</v>
      </c>
      <c r="F301" s="16">
        <f t="shared" si="45"/>
        <v>227269.17176048504</v>
      </c>
      <c r="G301" s="1"/>
      <c r="H301" s="17">
        <v>274</v>
      </c>
      <c r="I301" s="15">
        <f t="shared" si="46"/>
        <v>0</v>
      </c>
      <c r="J301" s="15">
        <f t="shared" si="40"/>
        <v>0</v>
      </c>
      <c r="K301" s="15">
        <f t="shared" si="47"/>
        <v>0</v>
      </c>
      <c r="L301" s="16">
        <f t="shared" si="48"/>
        <v>0</v>
      </c>
      <c r="M301" s="16">
        <f t="shared" si="49"/>
        <v>0</v>
      </c>
    </row>
    <row r="302" spans="1:13" ht="15">
      <c r="A302" s="17">
        <v>275</v>
      </c>
      <c r="B302" s="15">
        <f t="shared" si="41"/>
        <v>774.52516726689248</v>
      </c>
      <c r="C302" s="15">
        <f t="shared" si="42"/>
        <v>458.0074785443868</v>
      </c>
      <c r="D302" s="15">
        <f t="shared" si="43"/>
        <v>83780.701640927582</v>
      </c>
      <c r="E302" s="16">
        <f t="shared" si="44"/>
        <v>111219.29835907232</v>
      </c>
      <c r="F302" s="16">
        <f t="shared" si="45"/>
        <v>227727.17923902944</v>
      </c>
      <c r="G302" s="1"/>
      <c r="H302" s="17">
        <v>275</v>
      </c>
      <c r="I302" s="15">
        <f t="shared" si="46"/>
        <v>0</v>
      </c>
      <c r="J302" s="15">
        <f t="shared" si="40"/>
        <v>0</v>
      </c>
      <c r="K302" s="15">
        <f t="shared" si="47"/>
        <v>0</v>
      </c>
      <c r="L302" s="16">
        <f t="shared" si="48"/>
        <v>0</v>
      </c>
      <c r="M302" s="16">
        <f t="shared" si="49"/>
        <v>0</v>
      </c>
    </row>
    <row r="303" spans="1:13" ht="15">
      <c r="A303" s="14" t="s">
        <v>53</v>
      </c>
      <c r="B303" s="15">
        <f t="shared" si="41"/>
        <v>778.72051192292156</v>
      </c>
      <c r="C303" s="15">
        <f t="shared" si="42"/>
        <v>453.81213388835778</v>
      </c>
      <c r="D303" s="15">
        <f t="shared" si="43"/>
        <v>83001.981129004664</v>
      </c>
      <c r="E303" s="16">
        <f t="shared" si="44"/>
        <v>111998.01887099523</v>
      </c>
      <c r="F303" s="16">
        <f t="shared" si="45"/>
        <v>228180.99137291781</v>
      </c>
      <c r="G303" s="1"/>
      <c r="H303" s="14" t="s">
        <v>53</v>
      </c>
      <c r="I303" s="15">
        <f t="shared" si="46"/>
        <v>0</v>
      </c>
      <c r="J303" s="15">
        <f t="shared" si="40"/>
        <v>0</v>
      </c>
      <c r="K303" s="15">
        <f t="shared" si="47"/>
        <v>0</v>
      </c>
      <c r="L303" s="16">
        <f t="shared" si="48"/>
        <v>0</v>
      </c>
      <c r="M303" s="16">
        <f t="shared" si="49"/>
        <v>0</v>
      </c>
    </row>
    <row r="304" spans="1:13" ht="15">
      <c r="A304" s="17">
        <v>277</v>
      </c>
      <c r="B304" s="15">
        <f t="shared" si="41"/>
        <v>782.93858136250401</v>
      </c>
      <c r="C304" s="15">
        <f t="shared" si="42"/>
        <v>449.59406444877527</v>
      </c>
      <c r="D304" s="15">
        <f t="shared" si="43"/>
        <v>82219.042547642166</v>
      </c>
      <c r="E304" s="16">
        <f t="shared" si="44"/>
        <v>112780.95745235773</v>
      </c>
      <c r="F304" s="16">
        <f t="shared" si="45"/>
        <v>228630.58543736659</v>
      </c>
      <c r="G304" s="1"/>
      <c r="H304" s="17">
        <v>277</v>
      </c>
      <c r="I304" s="15">
        <f t="shared" si="46"/>
        <v>0</v>
      </c>
      <c r="J304" s="15">
        <f t="shared" si="40"/>
        <v>0</v>
      </c>
      <c r="K304" s="15">
        <f t="shared" si="47"/>
        <v>0</v>
      </c>
      <c r="L304" s="16">
        <f t="shared" si="48"/>
        <v>0</v>
      </c>
      <c r="M304" s="16">
        <f t="shared" si="49"/>
        <v>0</v>
      </c>
    </row>
    <row r="305" spans="1:13" ht="15">
      <c r="A305" s="17">
        <v>278</v>
      </c>
      <c r="B305" s="15">
        <f t="shared" si="41"/>
        <v>787.17949867821756</v>
      </c>
      <c r="C305" s="15">
        <f t="shared" si="42"/>
        <v>445.35314713306173</v>
      </c>
      <c r="D305" s="15">
        <f t="shared" si="43"/>
        <v>81431.863048963947</v>
      </c>
      <c r="E305" s="16">
        <f t="shared" si="44"/>
        <v>113568.13695103595</v>
      </c>
      <c r="F305" s="16">
        <f t="shared" si="45"/>
        <v>229075.93858449964</v>
      </c>
      <c r="G305" s="1"/>
      <c r="H305" s="17">
        <v>278</v>
      </c>
      <c r="I305" s="15">
        <f t="shared" si="46"/>
        <v>0</v>
      </c>
      <c r="J305" s="15">
        <f t="shared" si="40"/>
        <v>0</v>
      </c>
      <c r="K305" s="15">
        <f t="shared" si="47"/>
        <v>0</v>
      </c>
      <c r="L305" s="16">
        <f t="shared" si="48"/>
        <v>0</v>
      </c>
      <c r="M305" s="16">
        <f t="shared" si="49"/>
        <v>0</v>
      </c>
    </row>
    <row r="306" spans="1:13" ht="15">
      <c r="A306" s="17">
        <v>279</v>
      </c>
      <c r="B306" s="15">
        <f t="shared" si="41"/>
        <v>791.44338762939128</v>
      </c>
      <c r="C306" s="15">
        <f t="shared" si="42"/>
        <v>441.08925818188806</v>
      </c>
      <c r="D306" s="15">
        <f t="shared" si="43"/>
        <v>80640.419661334556</v>
      </c>
      <c r="E306" s="16">
        <f t="shared" si="44"/>
        <v>114359.58033866534</v>
      </c>
      <c r="F306" s="16">
        <f t="shared" si="45"/>
        <v>229517.02784268153</v>
      </c>
      <c r="G306" s="1"/>
      <c r="H306" s="17">
        <v>279</v>
      </c>
      <c r="I306" s="15">
        <f t="shared" si="46"/>
        <v>0</v>
      </c>
      <c r="J306" s="15">
        <f t="shared" si="40"/>
        <v>0</v>
      </c>
      <c r="K306" s="15">
        <f t="shared" si="47"/>
        <v>0</v>
      </c>
      <c r="L306" s="16">
        <f t="shared" si="48"/>
        <v>0</v>
      </c>
      <c r="M306" s="16">
        <f t="shared" si="49"/>
        <v>0</v>
      </c>
    </row>
    <row r="307" spans="1:13" ht="15">
      <c r="A307" s="17">
        <v>280</v>
      </c>
      <c r="B307" s="15">
        <f t="shared" si="41"/>
        <v>795.73037264571713</v>
      </c>
      <c r="C307" s="15">
        <f t="shared" si="42"/>
        <v>436.80227316556221</v>
      </c>
      <c r="D307" s="15">
        <f t="shared" si="43"/>
        <v>79844.689288688838</v>
      </c>
      <c r="E307" s="16">
        <f t="shared" si="44"/>
        <v>115155.31071131106</v>
      </c>
      <c r="F307" s="16">
        <f t="shared" si="45"/>
        <v>229953.83011584709</v>
      </c>
      <c r="G307" s="1"/>
      <c r="H307" s="17">
        <v>280</v>
      </c>
      <c r="I307" s="15">
        <f t="shared" si="46"/>
        <v>0</v>
      </c>
      <c r="J307" s="15">
        <f t="shared" si="40"/>
        <v>0</v>
      </c>
      <c r="K307" s="15">
        <f t="shared" si="47"/>
        <v>0</v>
      </c>
      <c r="L307" s="16">
        <f t="shared" si="48"/>
        <v>0</v>
      </c>
      <c r="M307" s="16">
        <f t="shared" si="49"/>
        <v>0</v>
      </c>
    </row>
    <row r="308" spans="1:13" ht="15">
      <c r="A308" s="17">
        <v>281</v>
      </c>
      <c r="B308" s="15">
        <f t="shared" si="41"/>
        <v>800.04057883088137</v>
      </c>
      <c r="C308" s="15">
        <f t="shared" si="42"/>
        <v>432.49206698039791</v>
      </c>
      <c r="D308" s="15">
        <f t="shared" si="43"/>
        <v>79044.648709857953</v>
      </c>
      <c r="E308" s="16">
        <f t="shared" si="44"/>
        <v>115955.35129014195</v>
      </c>
      <c r="F308" s="16">
        <f t="shared" si="45"/>
        <v>230386.32218282748</v>
      </c>
      <c r="G308" s="1"/>
      <c r="H308" s="17">
        <v>281</v>
      </c>
      <c r="I308" s="15">
        <f t="shared" si="46"/>
        <v>0</v>
      </c>
      <c r="J308" s="15">
        <f t="shared" si="40"/>
        <v>0</v>
      </c>
      <c r="K308" s="15">
        <f t="shared" si="47"/>
        <v>0</v>
      </c>
      <c r="L308" s="16">
        <f t="shared" si="48"/>
        <v>0</v>
      </c>
      <c r="M308" s="16">
        <f t="shared" si="49"/>
        <v>0</v>
      </c>
    </row>
    <row r="309" spans="1:13" ht="15">
      <c r="A309" s="17">
        <v>282</v>
      </c>
      <c r="B309" s="15">
        <f t="shared" si="41"/>
        <v>804.37413196621537</v>
      </c>
      <c r="C309" s="15">
        <f t="shared" si="42"/>
        <v>428.15851384506391</v>
      </c>
      <c r="D309" s="15">
        <f t="shared" si="43"/>
        <v>78240.274577891731</v>
      </c>
      <c r="E309" s="16">
        <f t="shared" si="44"/>
        <v>116759.72542210817</v>
      </c>
      <c r="F309" s="16">
        <f t="shared" si="45"/>
        <v>230814.48069667254</v>
      </c>
      <c r="G309" s="1"/>
      <c r="H309" s="17">
        <v>282</v>
      </c>
      <c r="I309" s="15">
        <f t="shared" si="46"/>
        <v>0</v>
      </c>
      <c r="J309" s="15">
        <f t="shared" si="40"/>
        <v>0</v>
      </c>
      <c r="K309" s="15">
        <f t="shared" si="47"/>
        <v>0</v>
      </c>
      <c r="L309" s="16">
        <f t="shared" si="48"/>
        <v>0</v>
      </c>
      <c r="M309" s="16">
        <f t="shared" si="49"/>
        <v>0</v>
      </c>
    </row>
    <row r="310" spans="1:13" ht="15">
      <c r="A310" s="17">
        <v>283</v>
      </c>
      <c r="B310" s="15">
        <f t="shared" si="41"/>
        <v>808.73115851436569</v>
      </c>
      <c r="C310" s="15">
        <f t="shared" si="42"/>
        <v>423.80148729691354</v>
      </c>
      <c r="D310" s="15">
        <f t="shared" si="43"/>
        <v>77431.543419377369</v>
      </c>
      <c r="E310" s="16">
        <f t="shared" si="44"/>
        <v>117568.45658062253</v>
      </c>
      <c r="F310" s="16">
        <f t="shared" si="45"/>
        <v>231238.28218396945</v>
      </c>
      <c r="G310" s="1"/>
      <c r="H310" s="17">
        <v>283</v>
      </c>
      <c r="I310" s="15">
        <f t="shared" si="46"/>
        <v>0</v>
      </c>
      <c r="J310" s="15">
        <f t="shared" si="40"/>
        <v>0</v>
      </c>
      <c r="K310" s="15">
        <f t="shared" si="47"/>
        <v>0</v>
      </c>
      <c r="L310" s="16">
        <f t="shared" si="48"/>
        <v>0</v>
      </c>
      <c r="M310" s="16">
        <f t="shared" si="49"/>
        <v>0</v>
      </c>
    </row>
    <row r="311" spans="1:13" ht="15">
      <c r="A311" s="17">
        <v>284</v>
      </c>
      <c r="B311" s="15">
        <f t="shared" si="41"/>
        <v>813.11178562298517</v>
      </c>
      <c r="C311" s="15">
        <f t="shared" si="42"/>
        <v>419.42086018829411</v>
      </c>
      <c r="D311" s="15">
        <f t="shared" si="43"/>
        <v>76618.431633754386</v>
      </c>
      <c r="E311" s="16">
        <f t="shared" si="44"/>
        <v>118381.56836624551</v>
      </c>
      <c r="F311" s="16">
        <f t="shared" si="45"/>
        <v>231657.70304415774</v>
      </c>
      <c r="G311" s="1"/>
      <c r="H311" s="17">
        <v>284</v>
      </c>
      <c r="I311" s="15">
        <f t="shared" si="46"/>
        <v>0</v>
      </c>
      <c r="J311" s="15">
        <f t="shared" si="40"/>
        <v>0</v>
      </c>
      <c r="K311" s="15">
        <f t="shared" si="47"/>
        <v>0</v>
      </c>
      <c r="L311" s="16">
        <f t="shared" si="48"/>
        <v>0</v>
      </c>
      <c r="M311" s="16">
        <f t="shared" si="49"/>
        <v>0</v>
      </c>
    </row>
    <row r="312" spans="1:13" ht="15">
      <c r="A312" s="17">
        <v>285</v>
      </c>
      <c r="B312" s="15">
        <f t="shared" si="41"/>
        <v>817.516141128443</v>
      </c>
      <c r="C312" s="15">
        <f t="shared" si="42"/>
        <v>415.01650468283628</v>
      </c>
      <c r="D312" s="15">
        <f t="shared" si="43"/>
        <v>75800.915492625936</v>
      </c>
      <c r="E312" s="16">
        <f t="shared" si="44"/>
        <v>119199.08450737396</v>
      </c>
      <c r="F312" s="16">
        <f t="shared" si="45"/>
        <v>232072.71954884057</v>
      </c>
      <c r="G312" s="1"/>
      <c r="H312" s="17">
        <v>285</v>
      </c>
      <c r="I312" s="15">
        <f t="shared" si="46"/>
        <v>0</v>
      </c>
      <c r="J312" s="15">
        <f t="shared" si="40"/>
        <v>0</v>
      </c>
      <c r="K312" s="15">
        <f t="shared" si="47"/>
        <v>0</v>
      </c>
      <c r="L312" s="16">
        <f t="shared" si="48"/>
        <v>0</v>
      </c>
      <c r="M312" s="16">
        <f t="shared" si="49"/>
        <v>0</v>
      </c>
    </row>
    <row r="313" spans="1:13" ht="15">
      <c r="A313" s="17">
        <v>286</v>
      </c>
      <c r="B313" s="15">
        <f t="shared" si="41"/>
        <v>821.94435355955545</v>
      </c>
      <c r="C313" s="15">
        <f t="shared" si="42"/>
        <v>410.58829225172383</v>
      </c>
      <c r="D313" s="15">
        <f t="shared" si="43"/>
        <v>74978.971139066387</v>
      </c>
      <c r="E313" s="16">
        <f t="shared" si="44"/>
        <v>120021.02886093351</v>
      </c>
      <c r="F313" s="16">
        <f t="shared" si="45"/>
        <v>232483.30784109229</v>
      </c>
      <c r="G313" s="1"/>
      <c r="H313" s="17">
        <v>286</v>
      </c>
      <c r="I313" s="15">
        <f t="shared" si="46"/>
        <v>0</v>
      </c>
      <c r="J313" s="15">
        <f t="shared" si="40"/>
        <v>0</v>
      </c>
      <c r="K313" s="15">
        <f t="shared" si="47"/>
        <v>0</v>
      </c>
      <c r="L313" s="16">
        <f t="shared" si="48"/>
        <v>0</v>
      </c>
      <c r="M313" s="16">
        <f t="shared" si="49"/>
        <v>0</v>
      </c>
    </row>
    <row r="314" spans="1:13" ht="15">
      <c r="A314" s="17">
        <v>287</v>
      </c>
      <c r="B314" s="15">
        <f t="shared" si="41"/>
        <v>826.39655214133631</v>
      </c>
      <c r="C314" s="15">
        <f t="shared" si="42"/>
        <v>406.13609366994297</v>
      </c>
      <c r="D314" s="15">
        <f t="shared" si="43"/>
        <v>74152.574586925053</v>
      </c>
      <c r="E314" s="16">
        <f t="shared" si="44"/>
        <v>120847.42541307484</v>
      </c>
      <c r="F314" s="16">
        <f t="shared" si="45"/>
        <v>232889.44393476224</v>
      </c>
      <c r="G314" s="1"/>
      <c r="H314" s="17">
        <v>287</v>
      </c>
      <c r="I314" s="15">
        <f t="shared" si="46"/>
        <v>0</v>
      </c>
      <c r="J314" s="15">
        <f t="shared" si="40"/>
        <v>0</v>
      </c>
      <c r="K314" s="15">
        <f t="shared" si="47"/>
        <v>0</v>
      </c>
      <c r="L314" s="16">
        <f t="shared" si="48"/>
        <v>0</v>
      </c>
      <c r="M314" s="16">
        <f t="shared" si="49"/>
        <v>0</v>
      </c>
    </row>
    <row r="315" spans="1:13" ht="15">
      <c r="A315" s="14" t="s">
        <v>54</v>
      </c>
      <c r="B315" s="15">
        <f t="shared" si="41"/>
        <v>830.87286679876854</v>
      </c>
      <c r="C315" s="15">
        <f t="shared" si="42"/>
        <v>401.65977901251074</v>
      </c>
      <c r="D315" s="15">
        <f t="shared" si="43"/>
        <v>73321.701720126279</v>
      </c>
      <c r="E315" s="16">
        <f t="shared" si="44"/>
        <v>121678.29827987362</v>
      </c>
      <c r="F315" s="16">
        <f t="shared" si="45"/>
        <v>233291.10371377476</v>
      </c>
      <c r="G315" s="1"/>
      <c r="H315" s="14" t="s">
        <v>54</v>
      </c>
      <c r="I315" s="15">
        <f t="shared" si="46"/>
        <v>0</v>
      </c>
      <c r="J315" s="15">
        <f t="shared" si="40"/>
        <v>0</v>
      </c>
      <c r="K315" s="15">
        <f t="shared" si="47"/>
        <v>0</v>
      </c>
      <c r="L315" s="16">
        <f t="shared" si="48"/>
        <v>0</v>
      </c>
      <c r="M315" s="16">
        <f t="shared" si="49"/>
        <v>0</v>
      </c>
    </row>
    <row r="316" spans="1:13" ht="15">
      <c r="A316" s="17">
        <v>289</v>
      </c>
      <c r="B316" s="15">
        <f t="shared" si="41"/>
        <v>835.37342816059527</v>
      </c>
      <c r="C316" s="15">
        <f t="shared" si="42"/>
        <v>397.15921765068401</v>
      </c>
      <c r="D316" s="15">
        <f t="shared" si="43"/>
        <v>72486.328291965678</v>
      </c>
      <c r="E316" s="16">
        <f t="shared" si="44"/>
        <v>122513.67170803422</v>
      </c>
      <c r="F316" s="16">
        <f t="shared" si="45"/>
        <v>233688.26293142544</v>
      </c>
      <c r="G316" s="1"/>
      <c r="H316" s="17">
        <v>289</v>
      </c>
      <c r="I316" s="15">
        <f t="shared" si="46"/>
        <v>0</v>
      </c>
      <c r="J316" s="15">
        <f t="shared" si="40"/>
        <v>0</v>
      </c>
      <c r="K316" s="15">
        <f t="shared" si="47"/>
        <v>0</v>
      </c>
      <c r="L316" s="16">
        <f t="shared" si="48"/>
        <v>0</v>
      </c>
      <c r="M316" s="16">
        <f t="shared" si="49"/>
        <v>0</v>
      </c>
    </row>
    <row r="317" spans="1:13" ht="15">
      <c r="A317" s="17">
        <v>290</v>
      </c>
      <c r="B317" s="15">
        <f t="shared" si="41"/>
        <v>839.89836756313184</v>
      </c>
      <c r="C317" s="15">
        <f t="shared" si="42"/>
        <v>392.63427824814744</v>
      </c>
      <c r="D317" s="15">
        <f t="shared" si="43"/>
        <v>71646.429924402546</v>
      </c>
      <c r="E317" s="16">
        <f t="shared" si="44"/>
        <v>123353.57007559735</v>
      </c>
      <c r="F317" s="16">
        <f t="shared" si="45"/>
        <v>234080.8972096736</v>
      </c>
      <c r="G317" s="1"/>
      <c r="H317" s="17">
        <v>290</v>
      </c>
      <c r="I317" s="15">
        <f t="shared" si="46"/>
        <v>0</v>
      </c>
      <c r="J317" s="15">
        <f t="shared" si="40"/>
        <v>0</v>
      </c>
      <c r="K317" s="15">
        <f t="shared" si="47"/>
        <v>0</v>
      </c>
      <c r="L317" s="16">
        <f t="shared" si="48"/>
        <v>0</v>
      </c>
      <c r="M317" s="16">
        <f t="shared" si="49"/>
        <v>0</v>
      </c>
    </row>
    <row r="318" spans="1:13" ht="15">
      <c r="A318" s="17">
        <v>291</v>
      </c>
      <c r="B318" s="15">
        <f t="shared" si="41"/>
        <v>844.44781705409878</v>
      </c>
      <c r="C318" s="15">
        <f t="shared" si="42"/>
        <v>388.08482875718045</v>
      </c>
      <c r="D318" s="15">
        <f t="shared" si="43"/>
        <v>70801.982107348449</v>
      </c>
      <c r="E318" s="16">
        <f t="shared" si="44"/>
        <v>124198.01789265145</v>
      </c>
      <c r="F318" s="16">
        <f t="shared" si="45"/>
        <v>234468.98203843078</v>
      </c>
      <c r="G318" s="1"/>
      <c r="H318" s="17">
        <v>291</v>
      </c>
      <c r="I318" s="15">
        <f t="shared" si="46"/>
        <v>0</v>
      </c>
      <c r="J318" s="15">
        <f t="shared" si="40"/>
        <v>0</v>
      </c>
      <c r="K318" s="15">
        <f t="shared" si="47"/>
        <v>0</v>
      </c>
      <c r="L318" s="16">
        <f t="shared" si="48"/>
        <v>0</v>
      </c>
      <c r="M318" s="16">
        <f t="shared" si="49"/>
        <v>0</v>
      </c>
    </row>
    <row r="319" spans="1:13" ht="15">
      <c r="A319" s="17">
        <v>292</v>
      </c>
      <c r="B319" s="15">
        <f t="shared" si="41"/>
        <v>849.02190939647517</v>
      </c>
      <c r="C319" s="15">
        <f t="shared" si="42"/>
        <v>383.51073641480411</v>
      </c>
      <c r="D319" s="15">
        <f t="shared" si="43"/>
        <v>69952.960197951979</v>
      </c>
      <c r="E319" s="16">
        <f t="shared" si="44"/>
        <v>125047.03980204792</v>
      </c>
      <c r="F319" s="16">
        <f t="shared" si="45"/>
        <v>234852.4927748456</v>
      </c>
      <c r="G319" s="1"/>
      <c r="H319" s="17">
        <v>292</v>
      </c>
      <c r="I319" s="15">
        <f t="shared" si="46"/>
        <v>0</v>
      </c>
      <c r="J319" s="15">
        <f t="shared" si="40"/>
        <v>0</v>
      </c>
      <c r="K319" s="15">
        <f t="shared" si="47"/>
        <v>0</v>
      </c>
      <c r="L319" s="16">
        <f t="shared" si="48"/>
        <v>0</v>
      </c>
      <c r="M319" s="16">
        <f t="shared" si="49"/>
        <v>0</v>
      </c>
    </row>
    <row r="320" spans="1:13" ht="15">
      <c r="A320" s="17">
        <v>293</v>
      </c>
      <c r="B320" s="15">
        <f t="shared" si="41"/>
        <v>853.62077807237279</v>
      </c>
      <c r="C320" s="15">
        <f t="shared" si="42"/>
        <v>378.91186773890655</v>
      </c>
      <c r="D320" s="15">
        <f t="shared" si="43"/>
        <v>69099.339419879601</v>
      </c>
      <c r="E320" s="16">
        <f t="shared" si="44"/>
        <v>125900.6605801203</v>
      </c>
      <c r="F320" s="16">
        <f t="shared" si="45"/>
        <v>235231.4046425845</v>
      </c>
      <c r="G320" s="1"/>
      <c r="H320" s="17">
        <v>293</v>
      </c>
      <c r="I320" s="15">
        <f t="shared" si="46"/>
        <v>0</v>
      </c>
      <c r="J320" s="15">
        <f t="shared" si="40"/>
        <v>0</v>
      </c>
      <c r="K320" s="15">
        <f t="shared" si="47"/>
        <v>0</v>
      </c>
      <c r="L320" s="16">
        <f t="shared" si="48"/>
        <v>0</v>
      </c>
      <c r="M320" s="16">
        <f t="shared" si="49"/>
        <v>0</v>
      </c>
    </row>
    <row r="321" spans="1:13" ht="15">
      <c r="A321" s="17">
        <v>294</v>
      </c>
      <c r="B321" s="15">
        <f t="shared" si="41"/>
        <v>858.24455728693147</v>
      </c>
      <c r="C321" s="15">
        <f t="shared" si="42"/>
        <v>374.28808852434787</v>
      </c>
      <c r="D321" s="15">
        <f t="shared" si="43"/>
        <v>68241.094862592669</v>
      </c>
      <c r="E321" s="16">
        <f t="shared" si="44"/>
        <v>126758.90513740723</v>
      </c>
      <c r="F321" s="16">
        <f t="shared" si="45"/>
        <v>235605.69273110884</v>
      </c>
      <c r="G321" s="1"/>
      <c r="H321" s="17">
        <v>294</v>
      </c>
      <c r="I321" s="15">
        <f t="shared" si="46"/>
        <v>0</v>
      </c>
      <c r="J321" s="15">
        <f t="shared" si="40"/>
        <v>0</v>
      </c>
      <c r="K321" s="15">
        <f t="shared" si="47"/>
        <v>0</v>
      </c>
      <c r="L321" s="16">
        <f t="shared" si="48"/>
        <v>0</v>
      </c>
      <c r="M321" s="16">
        <f t="shared" si="49"/>
        <v>0</v>
      </c>
    </row>
    <row r="322" spans="1:13" ht="15">
      <c r="A322" s="17">
        <v>295</v>
      </c>
      <c r="B322" s="15">
        <f t="shared" si="41"/>
        <v>862.8933819722356</v>
      </c>
      <c r="C322" s="15">
        <f t="shared" si="42"/>
        <v>369.63926383904362</v>
      </c>
      <c r="D322" s="15">
        <f t="shared" si="43"/>
        <v>67378.201480620439</v>
      </c>
      <c r="E322" s="16">
        <f t="shared" si="44"/>
        <v>127621.79851937946</v>
      </c>
      <c r="F322" s="16">
        <f t="shared" si="45"/>
        <v>235975.33199494789</v>
      </c>
      <c r="G322" s="1"/>
      <c r="H322" s="17">
        <v>295</v>
      </c>
      <c r="I322" s="15">
        <f t="shared" si="46"/>
        <v>0</v>
      </c>
      <c r="J322" s="15">
        <f t="shared" si="40"/>
        <v>0</v>
      </c>
      <c r="K322" s="15">
        <f t="shared" si="47"/>
        <v>0</v>
      </c>
      <c r="L322" s="16">
        <f t="shared" si="48"/>
        <v>0</v>
      </c>
      <c r="M322" s="16">
        <f t="shared" si="49"/>
        <v>0</v>
      </c>
    </row>
    <row r="323" spans="1:13" ht="15">
      <c r="A323" s="17">
        <v>296</v>
      </c>
      <c r="B323" s="15">
        <f t="shared" si="41"/>
        <v>867.56738779125192</v>
      </c>
      <c r="C323" s="15">
        <f t="shared" si="42"/>
        <v>364.96525802002736</v>
      </c>
      <c r="D323" s="15">
        <f t="shared" si="43"/>
        <v>66510.63409282919</v>
      </c>
      <c r="E323" s="16">
        <f t="shared" si="44"/>
        <v>128489.36590717071</v>
      </c>
      <c r="F323" s="16">
        <f t="shared" si="45"/>
        <v>236340.29725296792</v>
      </c>
      <c r="G323" s="1"/>
      <c r="H323" s="17">
        <v>296</v>
      </c>
      <c r="I323" s="15">
        <f t="shared" si="46"/>
        <v>0</v>
      </c>
      <c r="J323" s="15">
        <f t="shared" si="40"/>
        <v>0</v>
      </c>
      <c r="K323" s="15">
        <f t="shared" si="47"/>
        <v>0</v>
      </c>
      <c r="L323" s="16">
        <f t="shared" si="48"/>
        <v>0</v>
      </c>
      <c r="M323" s="16">
        <f t="shared" si="49"/>
        <v>0</v>
      </c>
    </row>
    <row r="324" spans="1:13" ht="15">
      <c r="A324" s="17">
        <v>297</v>
      </c>
      <c r="B324" s="15">
        <f t="shared" si="41"/>
        <v>872.26671114178782</v>
      </c>
      <c r="C324" s="15">
        <f t="shared" si="42"/>
        <v>360.26593466949146</v>
      </c>
      <c r="D324" s="15">
        <f t="shared" si="43"/>
        <v>65638.367381687407</v>
      </c>
      <c r="E324" s="16">
        <f t="shared" si="44"/>
        <v>129361.63261831249</v>
      </c>
      <c r="F324" s="16">
        <f t="shared" si="45"/>
        <v>236700.56318763742</v>
      </c>
      <c r="G324" s="1"/>
      <c r="H324" s="17">
        <v>297</v>
      </c>
      <c r="I324" s="15">
        <f t="shared" si="46"/>
        <v>0</v>
      </c>
      <c r="J324" s="15">
        <f t="shared" si="40"/>
        <v>0</v>
      </c>
      <c r="K324" s="15">
        <f t="shared" si="47"/>
        <v>0</v>
      </c>
      <c r="L324" s="16">
        <f t="shared" si="48"/>
        <v>0</v>
      </c>
      <c r="M324" s="16">
        <f t="shared" si="49"/>
        <v>0</v>
      </c>
    </row>
    <row r="325" spans="1:13" ht="15">
      <c r="A325" s="17">
        <v>298</v>
      </c>
      <c r="B325" s="15">
        <f t="shared" si="41"/>
        <v>876.9914891604725</v>
      </c>
      <c r="C325" s="15">
        <f t="shared" si="42"/>
        <v>355.54115665080678</v>
      </c>
      <c r="D325" s="15">
        <f t="shared" si="43"/>
        <v>64761.375892526936</v>
      </c>
      <c r="E325" s="16">
        <f t="shared" si="44"/>
        <v>130238.62410747296</v>
      </c>
      <c r="F325" s="16">
        <f t="shared" si="45"/>
        <v>237056.10434428824</v>
      </c>
      <c r="G325" s="1"/>
      <c r="H325" s="17">
        <v>298</v>
      </c>
      <c r="I325" s="15">
        <f t="shared" si="46"/>
        <v>0</v>
      </c>
      <c r="J325" s="15">
        <f t="shared" si="40"/>
        <v>0</v>
      </c>
      <c r="K325" s="15">
        <f t="shared" si="47"/>
        <v>0</v>
      </c>
      <c r="L325" s="16">
        <f t="shared" si="48"/>
        <v>0</v>
      </c>
      <c r="M325" s="16">
        <f t="shared" si="49"/>
        <v>0</v>
      </c>
    </row>
    <row r="326" spans="1:13" ht="15">
      <c r="A326" s="17">
        <v>299</v>
      </c>
      <c r="B326" s="15">
        <f t="shared" si="41"/>
        <v>881.74185972675832</v>
      </c>
      <c r="C326" s="15">
        <f t="shared" si="42"/>
        <v>350.7907860845209</v>
      </c>
      <c r="D326" s="15">
        <f t="shared" si="43"/>
        <v>63879.634032800175</v>
      </c>
      <c r="E326" s="16">
        <f t="shared" si="44"/>
        <v>131120.36596719973</v>
      </c>
      <c r="F326" s="16">
        <f t="shared" si="45"/>
        <v>237406.89513037275</v>
      </c>
      <c r="G326" s="1"/>
      <c r="H326" s="17">
        <v>299</v>
      </c>
      <c r="I326" s="15">
        <f t="shared" si="46"/>
        <v>0</v>
      </c>
      <c r="J326" s="15">
        <f t="shared" si="40"/>
        <v>0</v>
      </c>
      <c r="K326" s="15">
        <f t="shared" si="47"/>
        <v>0</v>
      </c>
      <c r="L326" s="16">
        <f t="shared" si="48"/>
        <v>0</v>
      </c>
      <c r="M326" s="16">
        <f t="shared" si="49"/>
        <v>0</v>
      </c>
    </row>
    <row r="327" spans="1:13" ht="15">
      <c r="A327" s="14" t="s">
        <v>55</v>
      </c>
      <c r="B327" s="15">
        <f t="shared" si="41"/>
        <v>886.51796146694505</v>
      </c>
      <c r="C327" s="15">
        <f t="shared" si="42"/>
        <v>346.01468434433428</v>
      </c>
      <c r="D327" s="15">
        <f t="shared" si="43"/>
        <v>62993.116071333228</v>
      </c>
      <c r="E327" s="16">
        <f t="shared" si="44"/>
        <v>132006.88392866668</v>
      </c>
      <c r="F327" s="16">
        <f t="shared" si="45"/>
        <v>237752.90981471707</v>
      </c>
      <c r="G327" s="1"/>
      <c r="H327" s="14" t="s">
        <v>55</v>
      </c>
      <c r="I327" s="15">
        <f t="shared" si="46"/>
        <v>0</v>
      </c>
      <c r="J327" s="15">
        <f t="shared" si="40"/>
        <v>0</v>
      </c>
      <c r="K327" s="15">
        <f t="shared" si="47"/>
        <v>0</v>
      </c>
      <c r="L327" s="16">
        <f t="shared" si="48"/>
        <v>0</v>
      </c>
      <c r="M327" s="16">
        <f t="shared" si="49"/>
        <v>0</v>
      </c>
    </row>
    <row r="328" spans="1:13" ht="15">
      <c r="A328" s="17">
        <v>301</v>
      </c>
      <c r="B328" s="15">
        <f t="shared" si="41"/>
        <v>891.31993375822435</v>
      </c>
      <c r="C328" s="15">
        <f t="shared" si="42"/>
        <v>341.21271205305499</v>
      </c>
      <c r="D328" s="15">
        <f t="shared" si="43"/>
        <v>62101.796137575002</v>
      </c>
      <c r="E328" s="16">
        <f t="shared" si="44"/>
        <v>132898.20386242491</v>
      </c>
      <c r="F328" s="16">
        <f t="shared" si="45"/>
        <v>238094.12252677014</v>
      </c>
      <c r="G328" s="1"/>
      <c r="H328" s="17">
        <v>301</v>
      </c>
      <c r="I328" s="15">
        <f t="shared" si="46"/>
        <v>0</v>
      </c>
      <c r="J328" s="15">
        <f t="shared" si="40"/>
        <v>0</v>
      </c>
      <c r="K328" s="15">
        <f t="shared" si="47"/>
        <v>0</v>
      </c>
      <c r="L328" s="16">
        <f t="shared" si="48"/>
        <v>0</v>
      </c>
      <c r="M328" s="16">
        <f t="shared" si="49"/>
        <v>0</v>
      </c>
    </row>
    <row r="329" spans="1:13" ht="15">
      <c r="A329" s="17">
        <v>302</v>
      </c>
      <c r="B329" s="15">
        <f t="shared" si="41"/>
        <v>896.14791673274794</v>
      </c>
      <c r="C329" s="15">
        <f t="shared" si="42"/>
        <v>336.38472907853128</v>
      </c>
      <c r="D329" s="15">
        <f t="shared" si="43"/>
        <v>61205.648220842253</v>
      </c>
      <c r="E329" s="16">
        <f t="shared" si="44"/>
        <v>133794.35177915765</v>
      </c>
      <c r="F329" s="16">
        <f t="shared" si="45"/>
        <v>238430.50725584867</v>
      </c>
      <c r="G329" s="1"/>
      <c r="H329" s="17">
        <v>302</v>
      </c>
      <c r="I329" s="15">
        <f t="shared" si="46"/>
        <v>0</v>
      </c>
      <c r="J329" s="15">
        <f t="shared" si="40"/>
        <v>0</v>
      </c>
      <c r="K329" s="15">
        <f t="shared" si="47"/>
        <v>0</v>
      </c>
      <c r="L329" s="16">
        <f t="shared" si="48"/>
        <v>0</v>
      </c>
      <c r="M329" s="16">
        <f t="shared" si="49"/>
        <v>0</v>
      </c>
    </row>
    <row r="330" spans="1:13" ht="15">
      <c r="A330" s="17">
        <v>303</v>
      </c>
      <c r="B330" s="15">
        <f t="shared" si="41"/>
        <v>901.00205128171706</v>
      </c>
      <c r="C330" s="15">
        <f t="shared" si="42"/>
        <v>331.53059452956222</v>
      </c>
      <c r="D330" s="15">
        <f t="shared" si="43"/>
        <v>60304.646169560539</v>
      </c>
      <c r="E330" s="16">
        <f t="shared" si="44"/>
        <v>134695.35383043936</v>
      </c>
      <c r="F330" s="16">
        <f t="shared" si="45"/>
        <v>238762.03785037823</v>
      </c>
      <c r="G330" s="1"/>
      <c r="H330" s="17">
        <v>303</v>
      </c>
      <c r="I330" s="15">
        <f t="shared" si="46"/>
        <v>0</v>
      </c>
      <c r="J330" s="15">
        <f t="shared" si="40"/>
        <v>0</v>
      </c>
      <c r="K330" s="15">
        <f t="shared" si="47"/>
        <v>0</v>
      </c>
      <c r="L330" s="16">
        <f t="shared" si="48"/>
        <v>0</v>
      </c>
      <c r="M330" s="16">
        <f t="shared" si="49"/>
        <v>0</v>
      </c>
    </row>
    <row r="331" spans="1:13" ht="15">
      <c r="A331" s="17">
        <v>304</v>
      </c>
      <c r="B331" s="15">
        <f t="shared" si="41"/>
        <v>905.88247905949299</v>
      </c>
      <c r="C331" s="15">
        <f t="shared" si="42"/>
        <v>326.65016675178629</v>
      </c>
      <c r="D331" s="15">
        <f t="shared" si="43"/>
        <v>59398.763690501044</v>
      </c>
      <c r="E331" s="16">
        <f t="shared" si="44"/>
        <v>135601.23630949884</v>
      </c>
      <c r="F331" s="16">
        <f t="shared" si="45"/>
        <v>239088.68801713001</v>
      </c>
      <c r="G331" s="1"/>
      <c r="H331" s="17">
        <v>304</v>
      </c>
      <c r="I331" s="15">
        <f t="shared" si="46"/>
        <v>0</v>
      </c>
      <c r="J331" s="15">
        <f t="shared" si="40"/>
        <v>0</v>
      </c>
      <c r="K331" s="15">
        <f t="shared" si="47"/>
        <v>0</v>
      </c>
      <c r="L331" s="16">
        <f t="shared" si="48"/>
        <v>0</v>
      </c>
      <c r="M331" s="16">
        <f t="shared" si="49"/>
        <v>0</v>
      </c>
    </row>
    <row r="332" spans="1:13" ht="15">
      <c r="A332" s="17">
        <v>305</v>
      </c>
      <c r="B332" s="15">
        <f t="shared" si="41"/>
        <v>910.78934248773203</v>
      </c>
      <c r="C332" s="15">
        <f t="shared" si="42"/>
        <v>321.74330332354731</v>
      </c>
      <c r="D332" s="15">
        <f t="shared" si="43"/>
        <v>58487.974348013311</v>
      </c>
      <c r="E332" s="16">
        <f t="shared" si="44"/>
        <v>136512.02565198657</v>
      </c>
      <c r="F332" s="16">
        <f t="shared" si="45"/>
        <v>239410.43132045356</v>
      </c>
      <c r="G332" s="1"/>
      <c r="H332" s="17">
        <v>305</v>
      </c>
      <c r="I332" s="15">
        <f t="shared" si="46"/>
        <v>0</v>
      </c>
      <c r="J332" s="15">
        <f t="shared" si="40"/>
        <v>0</v>
      </c>
      <c r="K332" s="15">
        <f t="shared" si="47"/>
        <v>0</v>
      </c>
      <c r="L332" s="16">
        <f t="shared" si="48"/>
        <v>0</v>
      </c>
      <c r="M332" s="16">
        <f t="shared" si="49"/>
        <v>0</v>
      </c>
    </row>
    <row r="333" spans="1:13" ht="15">
      <c r="A333" s="17">
        <v>306</v>
      </c>
      <c r="B333" s="15">
        <f t="shared" si="41"/>
        <v>915.72278475954045</v>
      </c>
      <c r="C333" s="15">
        <f t="shared" si="42"/>
        <v>316.80986105173878</v>
      </c>
      <c r="D333" s="15">
        <f t="shared" si="43"/>
        <v>57572.251563253769</v>
      </c>
      <c r="E333" s="16">
        <f t="shared" si="44"/>
        <v>137427.7484367461</v>
      </c>
      <c r="F333" s="16">
        <f t="shared" si="45"/>
        <v>239727.24118150529</v>
      </c>
      <c r="G333" s="1"/>
      <c r="H333" s="17">
        <v>306</v>
      </c>
      <c r="I333" s="15">
        <f t="shared" si="46"/>
        <v>0</v>
      </c>
      <c r="J333" s="15">
        <f t="shared" si="40"/>
        <v>0</v>
      </c>
      <c r="K333" s="15">
        <f t="shared" si="47"/>
        <v>0</v>
      </c>
      <c r="L333" s="16">
        <f t="shared" si="48"/>
        <v>0</v>
      </c>
      <c r="M333" s="16">
        <f t="shared" si="49"/>
        <v>0</v>
      </c>
    </row>
    <row r="334" spans="1:13" ht="15">
      <c r="A334" s="17">
        <v>307</v>
      </c>
      <c r="B334" s="15">
        <f t="shared" si="41"/>
        <v>920.68294984365468</v>
      </c>
      <c r="C334" s="15">
        <f t="shared" si="42"/>
        <v>311.8496959676246</v>
      </c>
      <c r="D334" s="15">
        <f t="shared" si="43"/>
        <v>56651.568613410112</v>
      </c>
      <c r="E334" s="16">
        <f t="shared" si="44"/>
        <v>138348.43138658974</v>
      </c>
      <c r="F334" s="16">
        <f t="shared" si="45"/>
        <v>240039.09087747292</v>
      </c>
      <c r="G334" s="1"/>
      <c r="H334" s="17">
        <v>307</v>
      </c>
      <c r="I334" s="15">
        <f t="shared" si="46"/>
        <v>0</v>
      </c>
      <c r="J334" s="15">
        <f t="shared" si="40"/>
        <v>0</v>
      </c>
      <c r="K334" s="15">
        <f t="shared" si="47"/>
        <v>0</v>
      </c>
      <c r="L334" s="16">
        <f t="shared" si="48"/>
        <v>0</v>
      </c>
      <c r="M334" s="16">
        <f t="shared" si="49"/>
        <v>0</v>
      </c>
    </row>
    <row r="335" spans="1:13" ht="15">
      <c r="A335" s="17">
        <v>308</v>
      </c>
      <c r="B335" s="15">
        <f t="shared" si="41"/>
        <v>925.66998248864115</v>
      </c>
      <c r="C335" s="15">
        <f t="shared" si="42"/>
        <v>306.86266332263813</v>
      </c>
      <c r="D335" s="15">
        <f t="shared" si="43"/>
        <v>55725.898630921474</v>
      </c>
      <c r="E335" s="16">
        <f t="shared" si="44"/>
        <v>139274.10136907839</v>
      </c>
      <c r="F335" s="16">
        <f t="shared" si="45"/>
        <v>240345.95354079557</v>
      </c>
      <c r="G335" s="1"/>
      <c r="H335" s="17">
        <v>308</v>
      </c>
      <c r="I335" s="15">
        <f t="shared" si="46"/>
        <v>0</v>
      </c>
      <c r="J335" s="15">
        <f t="shared" si="40"/>
        <v>0</v>
      </c>
      <c r="K335" s="15">
        <f t="shared" si="47"/>
        <v>0</v>
      </c>
      <c r="L335" s="16">
        <f t="shared" si="48"/>
        <v>0</v>
      </c>
      <c r="M335" s="16">
        <f t="shared" si="49"/>
        <v>0</v>
      </c>
    </row>
    <row r="336" spans="1:13" ht="15">
      <c r="A336" s="17">
        <v>309</v>
      </c>
      <c r="B336" s="15">
        <f t="shared" si="41"/>
        <v>930.6840282271213</v>
      </c>
      <c r="C336" s="15">
        <f t="shared" si="42"/>
        <v>301.84861758415798</v>
      </c>
      <c r="D336" s="15">
        <f t="shared" si="43"/>
        <v>54795.214602694352</v>
      </c>
      <c r="E336" s="16">
        <f t="shared" si="44"/>
        <v>140204.7853973055</v>
      </c>
      <c r="F336" s="16">
        <f t="shared" si="45"/>
        <v>240647.80215837972</v>
      </c>
      <c r="G336" s="1"/>
      <c r="H336" s="17">
        <v>309</v>
      </c>
      <c r="I336" s="15">
        <f t="shared" si="46"/>
        <v>0</v>
      </c>
      <c r="J336" s="15">
        <f t="shared" si="40"/>
        <v>0</v>
      </c>
      <c r="K336" s="15">
        <f t="shared" si="47"/>
        <v>0</v>
      </c>
      <c r="L336" s="16">
        <f t="shared" si="48"/>
        <v>0</v>
      </c>
      <c r="M336" s="16">
        <f t="shared" si="49"/>
        <v>0</v>
      </c>
    </row>
    <row r="337" spans="1:13" ht="15">
      <c r="A337" s="17">
        <v>310</v>
      </c>
      <c r="B337" s="15">
        <f t="shared" si="41"/>
        <v>935.72523338001815</v>
      </c>
      <c r="C337" s="15">
        <f t="shared" si="42"/>
        <v>296.80741243126107</v>
      </c>
      <c r="D337" s="15">
        <f t="shared" si="43"/>
        <v>53859.489369314331</v>
      </c>
      <c r="E337" s="16">
        <f t="shared" si="44"/>
        <v>141140.51063068552</v>
      </c>
      <c r="F337" s="16">
        <f t="shared" si="45"/>
        <v>240944.60957081098</v>
      </c>
      <c r="G337" s="1"/>
      <c r="H337" s="17">
        <v>310</v>
      </c>
      <c r="I337" s="15">
        <f t="shared" si="46"/>
        <v>0</v>
      </c>
      <c r="J337" s="15">
        <f t="shared" si="40"/>
        <v>0</v>
      </c>
      <c r="K337" s="15">
        <f t="shared" si="47"/>
        <v>0</v>
      </c>
      <c r="L337" s="16">
        <f t="shared" si="48"/>
        <v>0</v>
      </c>
      <c r="M337" s="16">
        <f t="shared" si="49"/>
        <v>0</v>
      </c>
    </row>
    <row r="338" spans="1:13" ht="15">
      <c r="A338" s="17">
        <v>311</v>
      </c>
      <c r="B338" s="15">
        <f t="shared" si="41"/>
        <v>940.79374506082672</v>
      </c>
      <c r="C338" s="15">
        <f t="shared" si="42"/>
        <v>291.73890075045261</v>
      </c>
      <c r="D338" s="15">
        <f t="shared" si="43"/>
        <v>52918.695624253502</v>
      </c>
      <c r="E338" s="16">
        <f t="shared" si="44"/>
        <v>142081.30437574635</v>
      </c>
      <c r="F338" s="16">
        <f t="shared" si="45"/>
        <v>241236.34847156142</v>
      </c>
      <c r="G338" s="1"/>
      <c r="H338" s="17">
        <v>311</v>
      </c>
      <c r="I338" s="15">
        <f t="shared" si="46"/>
        <v>0</v>
      </c>
      <c r="J338" s="15">
        <f t="shared" si="40"/>
        <v>0</v>
      </c>
      <c r="K338" s="15">
        <f t="shared" si="47"/>
        <v>0</v>
      </c>
      <c r="L338" s="16">
        <f t="shared" si="48"/>
        <v>0</v>
      </c>
      <c r="M338" s="16">
        <f t="shared" si="49"/>
        <v>0</v>
      </c>
    </row>
    <row r="339" spans="1:13" ht="15">
      <c r="A339" s="14" t="s">
        <v>56</v>
      </c>
      <c r="B339" s="15">
        <f t="shared" si="41"/>
        <v>945.88971117990616</v>
      </c>
      <c r="C339" s="15">
        <f t="shared" si="42"/>
        <v>286.64293463137312</v>
      </c>
      <c r="D339" s="15">
        <f t="shared" si="43"/>
        <v>51972.805913073593</v>
      </c>
      <c r="E339" s="16">
        <f t="shared" si="44"/>
        <v>143027.19408692626</v>
      </c>
      <c r="F339" s="16">
        <f t="shared" si="45"/>
        <v>241522.9914061928</v>
      </c>
      <c r="G339" s="1"/>
      <c r="H339" s="14" t="s">
        <v>56</v>
      </c>
      <c r="I339" s="15">
        <f t="shared" si="46"/>
        <v>0</v>
      </c>
      <c r="J339" s="15">
        <f t="shared" si="40"/>
        <v>0</v>
      </c>
      <c r="K339" s="15">
        <f t="shared" si="47"/>
        <v>0</v>
      </c>
      <c r="L339" s="16">
        <f t="shared" si="48"/>
        <v>0</v>
      </c>
      <c r="M339" s="16">
        <f t="shared" si="49"/>
        <v>0</v>
      </c>
    </row>
    <row r="340" spans="1:13" ht="15">
      <c r="A340" s="17">
        <v>313</v>
      </c>
      <c r="B340" s="15">
        <f t="shared" si="41"/>
        <v>951.01328044879733</v>
      </c>
      <c r="C340" s="15">
        <f t="shared" si="42"/>
        <v>281.51936536248195</v>
      </c>
      <c r="D340" s="15">
        <f t="shared" si="43"/>
        <v>51021.792632624798</v>
      </c>
      <c r="E340" s="16">
        <f t="shared" si="44"/>
        <v>143978.20736737506</v>
      </c>
      <c r="F340" s="16">
        <f t="shared" si="45"/>
        <v>241804.51077155527</v>
      </c>
      <c r="G340" s="1"/>
      <c r="H340" s="17">
        <v>313</v>
      </c>
      <c r="I340" s="15">
        <f t="shared" si="46"/>
        <v>0</v>
      </c>
      <c r="J340" s="15">
        <f t="shared" si="40"/>
        <v>0</v>
      </c>
      <c r="K340" s="15">
        <f t="shared" si="47"/>
        <v>0</v>
      </c>
      <c r="L340" s="16">
        <f t="shared" si="48"/>
        <v>0</v>
      </c>
      <c r="M340" s="16">
        <f t="shared" si="49"/>
        <v>0</v>
      </c>
    </row>
    <row r="341" spans="1:13" ht="15">
      <c r="A341" s="17">
        <v>314</v>
      </c>
      <c r="B341" s="15">
        <f t="shared" si="41"/>
        <v>956.16460238456159</v>
      </c>
      <c r="C341" s="15">
        <f t="shared" si="42"/>
        <v>276.36804342671769</v>
      </c>
      <c r="D341" s="15">
        <f t="shared" si="43"/>
        <v>50065.628030240237</v>
      </c>
      <c r="E341" s="16">
        <f t="shared" si="44"/>
        <v>144934.37196975961</v>
      </c>
      <c r="F341" s="16">
        <f t="shared" si="45"/>
        <v>242080.87881498199</v>
      </c>
      <c r="G341" s="1"/>
      <c r="H341" s="17">
        <v>314</v>
      </c>
      <c r="I341" s="15">
        <f t="shared" si="46"/>
        <v>0</v>
      </c>
      <c r="J341" s="15">
        <f t="shared" si="40"/>
        <v>0</v>
      </c>
      <c r="K341" s="15">
        <f t="shared" si="47"/>
        <v>0</v>
      </c>
      <c r="L341" s="16">
        <f t="shared" si="48"/>
        <v>0</v>
      </c>
      <c r="M341" s="16">
        <f t="shared" si="49"/>
        <v>0</v>
      </c>
    </row>
    <row r="342" spans="1:13" ht="15">
      <c r="A342" s="17">
        <v>315</v>
      </c>
      <c r="B342" s="15">
        <f t="shared" si="41"/>
        <v>961.34382731414462</v>
      </c>
      <c r="C342" s="15">
        <f t="shared" si="42"/>
        <v>271.1888184971346</v>
      </c>
      <c r="D342" s="15">
        <f t="shared" si="43"/>
        <v>49104.284202926094</v>
      </c>
      <c r="E342" s="16">
        <f t="shared" si="44"/>
        <v>145895.71579707376</v>
      </c>
      <c r="F342" s="16">
        <f t="shared" si="45"/>
        <v>242352.06763347914</v>
      </c>
      <c r="G342" s="1"/>
      <c r="H342" s="17">
        <v>315</v>
      </c>
      <c r="I342" s="15">
        <f t="shared" si="46"/>
        <v>0</v>
      </c>
      <c r="J342" s="15">
        <f t="shared" si="40"/>
        <v>0</v>
      </c>
      <c r="K342" s="15">
        <f t="shared" si="47"/>
        <v>0</v>
      </c>
      <c r="L342" s="16">
        <f t="shared" si="48"/>
        <v>0</v>
      </c>
      <c r="M342" s="16">
        <f t="shared" si="49"/>
        <v>0</v>
      </c>
    </row>
    <row r="343" spans="1:13" ht="15">
      <c r="A343" s="17">
        <v>316</v>
      </c>
      <c r="B343" s="15">
        <f t="shared" si="41"/>
        <v>966.55110637876294</v>
      </c>
      <c r="C343" s="15">
        <f t="shared" si="42"/>
        <v>265.98153943251634</v>
      </c>
      <c r="D343" s="15">
        <f t="shared" si="43"/>
        <v>48137.73309654733</v>
      </c>
      <c r="E343" s="16">
        <f t="shared" si="44"/>
        <v>146862.26690345252</v>
      </c>
      <c r="F343" s="16">
        <f t="shared" si="45"/>
        <v>242618.04917291165</v>
      </c>
      <c r="G343" s="1"/>
      <c r="H343" s="17">
        <v>316</v>
      </c>
      <c r="I343" s="15">
        <f t="shared" si="46"/>
        <v>0</v>
      </c>
      <c r="J343" s="15">
        <f t="shared" si="40"/>
        <v>0</v>
      </c>
      <c r="K343" s="15">
        <f t="shared" si="47"/>
        <v>0</v>
      </c>
      <c r="L343" s="16">
        <f t="shared" si="48"/>
        <v>0</v>
      </c>
      <c r="M343" s="16">
        <f t="shared" si="49"/>
        <v>0</v>
      </c>
    </row>
    <row r="344" spans="1:13" ht="15">
      <c r="A344" s="17">
        <v>317</v>
      </c>
      <c r="B344" s="15">
        <f t="shared" si="41"/>
        <v>971.7865915383145</v>
      </c>
      <c r="C344" s="15">
        <f t="shared" si="42"/>
        <v>260.74605427296473</v>
      </c>
      <c r="D344" s="15">
        <f t="shared" si="43"/>
        <v>47165.946505009015</v>
      </c>
      <c r="E344" s="16">
        <f t="shared" si="44"/>
        <v>147834.05349499083</v>
      </c>
      <c r="F344" s="16">
        <f t="shared" si="45"/>
        <v>242878.7952271846</v>
      </c>
      <c r="G344" s="1"/>
      <c r="H344" s="17">
        <v>317</v>
      </c>
      <c r="I344" s="15">
        <f t="shared" si="46"/>
        <v>0</v>
      </c>
      <c r="J344" s="15">
        <f t="shared" si="40"/>
        <v>0</v>
      </c>
      <c r="K344" s="15">
        <f t="shared" si="47"/>
        <v>0</v>
      </c>
      <c r="L344" s="16">
        <f t="shared" si="48"/>
        <v>0</v>
      </c>
      <c r="M344" s="16">
        <f t="shared" si="49"/>
        <v>0</v>
      </c>
    </row>
    <row r="345" spans="1:13" ht="15">
      <c r="A345" s="17">
        <v>318</v>
      </c>
      <c r="B345" s="15">
        <f t="shared" si="41"/>
        <v>977.05043557581371</v>
      </c>
      <c r="C345" s="15">
        <f t="shared" si="42"/>
        <v>255.48221023546552</v>
      </c>
      <c r="D345" s="15">
        <f t="shared" si="43"/>
        <v>46188.896069433198</v>
      </c>
      <c r="E345" s="16">
        <f t="shared" si="44"/>
        <v>148811.10393056663</v>
      </c>
      <c r="F345" s="16">
        <f t="shared" si="45"/>
        <v>243134.27743742007</v>
      </c>
      <c r="G345" s="1"/>
      <c r="H345" s="17">
        <v>318</v>
      </c>
      <c r="I345" s="15">
        <f t="shared" si="46"/>
        <v>0</v>
      </c>
      <c r="J345" s="15">
        <f t="shared" si="40"/>
        <v>0</v>
      </c>
      <c r="K345" s="15">
        <f t="shared" si="47"/>
        <v>0</v>
      </c>
      <c r="L345" s="16">
        <f t="shared" si="48"/>
        <v>0</v>
      </c>
      <c r="M345" s="16">
        <f t="shared" si="49"/>
        <v>0</v>
      </c>
    </row>
    <row r="346" spans="1:13" ht="15">
      <c r="A346" s="17">
        <v>319</v>
      </c>
      <c r="B346" s="15">
        <f t="shared" si="41"/>
        <v>982.34279210184945</v>
      </c>
      <c r="C346" s="15">
        <f t="shared" si="42"/>
        <v>250.18985370942983</v>
      </c>
      <c r="D346" s="15">
        <f t="shared" si="43"/>
        <v>45206.553277331346</v>
      </c>
      <c r="E346" s="16">
        <f t="shared" si="44"/>
        <v>149793.44672266848</v>
      </c>
      <c r="F346" s="16">
        <f t="shared" si="45"/>
        <v>243384.46729112949</v>
      </c>
      <c r="G346" s="1"/>
      <c r="H346" s="17">
        <v>319</v>
      </c>
      <c r="I346" s="15">
        <f t="shared" si="46"/>
        <v>0</v>
      </c>
      <c r="J346" s="15">
        <f t="shared" si="40"/>
        <v>0</v>
      </c>
      <c r="K346" s="15">
        <f t="shared" si="47"/>
        <v>0</v>
      </c>
      <c r="L346" s="16">
        <f t="shared" si="48"/>
        <v>0</v>
      </c>
      <c r="M346" s="16">
        <f t="shared" si="49"/>
        <v>0</v>
      </c>
    </row>
    <row r="347" spans="1:13" ht="15">
      <c r="A347" s="17">
        <v>320</v>
      </c>
      <c r="B347" s="15">
        <f t="shared" si="41"/>
        <v>987.66381555906787</v>
      </c>
      <c r="C347" s="15">
        <f t="shared" si="42"/>
        <v>244.86883025221147</v>
      </c>
      <c r="D347" s="15">
        <f t="shared" si="43"/>
        <v>44218.889461772276</v>
      </c>
      <c r="E347" s="16">
        <f t="shared" si="44"/>
        <v>150781.11053822754</v>
      </c>
      <c r="F347" s="16">
        <f t="shared" si="45"/>
        <v>243629.3361213817</v>
      </c>
      <c r="G347" s="1"/>
      <c r="H347" s="17">
        <v>320</v>
      </c>
      <c r="I347" s="15">
        <f t="shared" si="46"/>
        <v>0</v>
      </c>
      <c r="J347" s="15">
        <f t="shared" si="40"/>
        <v>0</v>
      </c>
      <c r="K347" s="15">
        <f t="shared" si="47"/>
        <v>0</v>
      </c>
      <c r="L347" s="16">
        <f t="shared" si="48"/>
        <v>0</v>
      </c>
      <c r="M347" s="16">
        <f t="shared" si="49"/>
        <v>0</v>
      </c>
    </row>
    <row r="348" spans="1:13" ht="15">
      <c r="A348" s="17">
        <v>321</v>
      </c>
      <c r="B348" s="15">
        <f t="shared" si="41"/>
        <v>993.01366122667946</v>
      </c>
      <c r="C348" s="15">
        <f t="shared" si="42"/>
        <v>239.51898458459985</v>
      </c>
      <c r="D348" s="15">
        <f t="shared" si="43"/>
        <v>43225.875800545597</v>
      </c>
      <c r="E348" s="16">
        <f t="shared" si="44"/>
        <v>151774.12419945421</v>
      </c>
      <c r="F348" s="16">
        <f t="shared" si="45"/>
        <v>243868.8551059663</v>
      </c>
      <c r="G348" s="1"/>
      <c r="H348" s="17">
        <v>321</v>
      </c>
      <c r="I348" s="15">
        <f t="shared" si="46"/>
        <v>0</v>
      </c>
      <c r="J348" s="15">
        <f t="shared" si="40"/>
        <v>0</v>
      </c>
      <c r="K348" s="15">
        <f t="shared" si="47"/>
        <v>0</v>
      </c>
      <c r="L348" s="16">
        <f t="shared" si="48"/>
        <v>0</v>
      </c>
      <c r="M348" s="16">
        <f t="shared" si="49"/>
        <v>0</v>
      </c>
    </row>
    <row r="349" spans="1:13" ht="15">
      <c r="A349" s="17">
        <v>322</v>
      </c>
      <c r="B349" s="15">
        <f t="shared" si="41"/>
        <v>998.39248522499065</v>
      </c>
      <c r="C349" s="15">
        <f t="shared" si="42"/>
        <v>234.14016058628866</v>
      </c>
      <c r="D349" s="15">
        <f t="shared" si="43"/>
        <v>42227.483315320605</v>
      </c>
      <c r="E349" s="16">
        <f t="shared" si="44"/>
        <v>152772.5166846792</v>
      </c>
      <c r="F349" s="16">
        <f t="shared" si="45"/>
        <v>244102.99526655258</v>
      </c>
      <c r="G349" s="1"/>
      <c r="H349" s="17">
        <v>322</v>
      </c>
      <c r="I349" s="15">
        <f t="shared" si="46"/>
        <v>0</v>
      </c>
      <c r="J349" s="15">
        <f t="shared" ref="J349:J388" si="50">SUM(K348*(RATE2/12))</f>
        <v>0</v>
      </c>
      <c r="K349" s="15">
        <f t="shared" si="47"/>
        <v>0</v>
      </c>
      <c r="L349" s="16">
        <f t="shared" si="48"/>
        <v>0</v>
      </c>
      <c r="M349" s="16">
        <f t="shared" si="49"/>
        <v>0</v>
      </c>
    </row>
    <row r="350" spans="1:13" ht="15">
      <c r="A350" s="17">
        <v>323</v>
      </c>
      <c r="B350" s="15">
        <f t="shared" ref="B350:B386" si="51">IF(D349&lt;=0,0,SUM($B$12-C350))</f>
        <v>1003.8004445199593</v>
      </c>
      <c r="C350" s="15">
        <f t="shared" ref="C350:C386" si="52">SUM(D349*(RATE/12))</f>
        <v>228.73220129131997</v>
      </c>
      <c r="D350" s="15">
        <f t="shared" ref="D350:D386" si="53">IF(SUM(D349-B350-$B$14)&lt;=0,0,SUM(D349-B350-$B$14))</f>
        <v>41223.682870800643</v>
      </c>
      <c r="E350" s="16">
        <f t="shared" ref="E350:E386" si="54">IF($D349&lt;=0,0,SUM(B350,E349,$B$15))</f>
        <v>153776.31712919916</v>
      </c>
      <c r="F350" s="16">
        <f t="shared" ref="F350:F386" si="55">IF($D349&lt;=0,0,SUM(C350,F349))</f>
        <v>244331.72746784388</v>
      </c>
      <c r="G350" s="1"/>
      <c r="H350" s="17">
        <v>323</v>
      </c>
      <c r="I350" s="15">
        <f t="shared" ref="I350:I387" si="56">IF(K349&lt;=0,0,SUM($E$12-J350))</f>
        <v>0</v>
      </c>
      <c r="J350" s="15">
        <f t="shared" si="50"/>
        <v>0</v>
      </c>
      <c r="K350" s="15">
        <f t="shared" ref="K350:K387" si="57">IF(SUM(K349-I350-$E$14)&lt;=0,0,SUM(K349-I350-$E$14))</f>
        <v>0</v>
      </c>
      <c r="L350" s="16">
        <f t="shared" ref="L350:L387" si="58">IF($K349&lt;=0,0,SUM(I350,L349,$E$14))</f>
        <v>0</v>
      </c>
      <c r="M350" s="16">
        <f t="shared" ref="M350:M387" si="59">IF($K349&lt;=0,0,SUM(J350,M349))</f>
        <v>0</v>
      </c>
    </row>
    <row r="351" spans="1:13" ht="15">
      <c r="A351" s="14" t="s">
        <v>57</v>
      </c>
      <c r="B351" s="15">
        <f t="shared" si="51"/>
        <v>1009.2376969277758</v>
      </c>
      <c r="C351" s="15">
        <f t="shared" si="52"/>
        <v>223.29494888350348</v>
      </c>
      <c r="D351" s="15">
        <f t="shared" si="53"/>
        <v>40214.445173872868</v>
      </c>
      <c r="E351" s="16">
        <f t="shared" si="54"/>
        <v>154785.55482612693</v>
      </c>
      <c r="F351" s="16">
        <f t="shared" si="55"/>
        <v>244555.02241672738</v>
      </c>
      <c r="G351" s="1"/>
      <c r="H351" s="14" t="s">
        <v>57</v>
      </c>
      <c r="I351" s="15">
        <f t="shared" si="56"/>
        <v>0</v>
      </c>
      <c r="J351" s="15">
        <f t="shared" si="50"/>
        <v>0</v>
      </c>
      <c r="K351" s="15">
        <f t="shared" si="57"/>
        <v>0</v>
      </c>
      <c r="L351" s="16">
        <f t="shared" si="58"/>
        <v>0</v>
      </c>
      <c r="M351" s="16">
        <f t="shared" si="59"/>
        <v>0</v>
      </c>
    </row>
    <row r="352" spans="1:13" ht="15">
      <c r="A352" s="17">
        <v>325</v>
      </c>
      <c r="B352" s="15">
        <f t="shared" si="51"/>
        <v>1014.7044011194679</v>
      </c>
      <c r="C352" s="15">
        <f t="shared" si="52"/>
        <v>217.82824469181136</v>
      </c>
      <c r="D352" s="15">
        <f t="shared" si="53"/>
        <v>39199.740772753401</v>
      </c>
      <c r="E352" s="16">
        <f t="shared" si="54"/>
        <v>155800.2592272464</v>
      </c>
      <c r="F352" s="16">
        <f t="shared" si="55"/>
        <v>244772.85066141919</v>
      </c>
      <c r="G352" s="1"/>
      <c r="H352" s="17">
        <v>325</v>
      </c>
      <c r="I352" s="15">
        <f t="shared" si="56"/>
        <v>0</v>
      </c>
      <c r="J352" s="15">
        <f t="shared" si="50"/>
        <v>0</v>
      </c>
      <c r="K352" s="15">
        <f t="shared" si="57"/>
        <v>0</v>
      </c>
      <c r="L352" s="16">
        <f t="shared" si="58"/>
        <v>0</v>
      </c>
      <c r="M352" s="16">
        <f t="shared" si="59"/>
        <v>0</v>
      </c>
    </row>
    <row r="353" spans="1:13" ht="15">
      <c r="A353" s="17">
        <v>326</v>
      </c>
      <c r="B353" s="15">
        <f t="shared" si="51"/>
        <v>1020.2007166255316</v>
      </c>
      <c r="C353" s="15">
        <f t="shared" si="52"/>
        <v>212.33192918574758</v>
      </c>
      <c r="D353" s="15">
        <f t="shared" si="53"/>
        <v>38179.540056127866</v>
      </c>
      <c r="E353" s="16">
        <f t="shared" si="54"/>
        <v>156820.45994387192</v>
      </c>
      <c r="F353" s="16">
        <f t="shared" si="55"/>
        <v>244985.18259060493</v>
      </c>
      <c r="G353" s="1"/>
      <c r="H353" s="17">
        <v>326</v>
      </c>
      <c r="I353" s="15">
        <f t="shared" si="56"/>
        <v>0</v>
      </c>
      <c r="J353" s="15">
        <f t="shared" si="50"/>
        <v>0</v>
      </c>
      <c r="K353" s="15">
        <f t="shared" si="57"/>
        <v>0</v>
      </c>
      <c r="L353" s="16">
        <f t="shared" si="58"/>
        <v>0</v>
      </c>
      <c r="M353" s="16">
        <f t="shared" si="59"/>
        <v>0</v>
      </c>
    </row>
    <row r="354" spans="1:13" ht="15">
      <c r="A354" s="17">
        <v>327</v>
      </c>
      <c r="B354" s="15">
        <f t="shared" si="51"/>
        <v>1025.7268038405866</v>
      </c>
      <c r="C354" s="15">
        <f t="shared" si="52"/>
        <v>206.80584197069263</v>
      </c>
      <c r="D354" s="15">
        <f t="shared" si="53"/>
        <v>37153.813252287277</v>
      </c>
      <c r="E354" s="16">
        <f t="shared" si="54"/>
        <v>157846.18674771249</v>
      </c>
      <c r="F354" s="16">
        <f t="shared" si="55"/>
        <v>245191.98843257563</v>
      </c>
      <c r="G354" s="1"/>
      <c r="H354" s="17">
        <v>327</v>
      </c>
      <c r="I354" s="15">
        <f t="shared" si="56"/>
        <v>0</v>
      </c>
      <c r="J354" s="15">
        <f t="shared" si="50"/>
        <v>0</v>
      </c>
      <c r="K354" s="15">
        <f t="shared" si="57"/>
        <v>0</v>
      </c>
      <c r="L354" s="16">
        <f t="shared" si="58"/>
        <v>0</v>
      </c>
      <c r="M354" s="16">
        <f t="shared" si="59"/>
        <v>0</v>
      </c>
    </row>
    <row r="355" spans="1:13" ht="15">
      <c r="A355" s="17">
        <v>328</v>
      </c>
      <c r="B355" s="15">
        <f t="shared" si="51"/>
        <v>1031.2828240280564</v>
      </c>
      <c r="C355" s="15">
        <f t="shared" si="52"/>
        <v>201.24982178322276</v>
      </c>
      <c r="D355" s="15">
        <f t="shared" si="53"/>
        <v>36122.530428259219</v>
      </c>
      <c r="E355" s="16">
        <f t="shared" si="54"/>
        <v>158877.46957174054</v>
      </c>
      <c r="F355" s="16">
        <f t="shared" si="55"/>
        <v>245393.23825435885</v>
      </c>
      <c r="G355" s="1"/>
      <c r="H355" s="17">
        <v>328</v>
      </c>
      <c r="I355" s="15">
        <f t="shared" si="56"/>
        <v>0</v>
      </c>
      <c r="J355" s="15">
        <f t="shared" si="50"/>
        <v>0</v>
      </c>
      <c r="K355" s="15">
        <f t="shared" si="57"/>
        <v>0</v>
      </c>
      <c r="L355" s="16">
        <f t="shared" si="58"/>
        <v>0</v>
      </c>
      <c r="M355" s="16">
        <f t="shared" si="59"/>
        <v>0</v>
      </c>
    </row>
    <row r="356" spans="1:13" ht="15">
      <c r="A356" s="17">
        <v>329</v>
      </c>
      <c r="B356" s="15">
        <f t="shared" si="51"/>
        <v>1036.8689393248751</v>
      </c>
      <c r="C356" s="15">
        <f t="shared" si="52"/>
        <v>195.6637064864041</v>
      </c>
      <c r="D356" s="15">
        <f t="shared" si="53"/>
        <v>35085.661488934347</v>
      </c>
      <c r="E356" s="16">
        <f t="shared" si="54"/>
        <v>159914.33851106541</v>
      </c>
      <c r="F356" s="16">
        <f t="shared" si="55"/>
        <v>245588.90196084525</v>
      </c>
      <c r="G356" s="1"/>
      <c r="H356" s="17">
        <v>329</v>
      </c>
      <c r="I356" s="15">
        <f t="shared" si="56"/>
        <v>0</v>
      </c>
      <c r="J356" s="15">
        <f t="shared" si="50"/>
        <v>0</v>
      </c>
      <c r="K356" s="15">
        <f t="shared" si="57"/>
        <v>0</v>
      </c>
      <c r="L356" s="16">
        <f t="shared" si="58"/>
        <v>0</v>
      </c>
      <c r="M356" s="16">
        <f t="shared" si="59"/>
        <v>0</v>
      </c>
    </row>
    <row r="357" spans="1:13" ht="15">
      <c r="A357" s="17">
        <v>330</v>
      </c>
      <c r="B357" s="15">
        <f t="shared" si="51"/>
        <v>1042.4853127462181</v>
      </c>
      <c r="C357" s="15">
        <f t="shared" si="52"/>
        <v>190.04733306506105</v>
      </c>
      <c r="D357" s="15">
        <f t="shared" si="53"/>
        <v>34043.176176188128</v>
      </c>
      <c r="E357" s="16">
        <f t="shared" si="54"/>
        <v>160956.82382381163</v>
      </c>
      <c r="F357" s="16">
        <f t="shared" si="55"/>
        <v>245778.94929391032</v>
      </c>
      <c r="G357" s="1"/>
      <c r="H357" s="17">
        <v>330</v>
      </c>
      <c r="I357" s="15">
        <f t="shared" si="56"/>
        <v>0</v>
      </c>
      <c r="J357" s="15">
        <f t="shared" si="50"/>
        <v>0</v>
      </c>
      <c r="K357" s="15">
        <f t="shared" si="57"/>
        <v>0</v>
      </c>
      <c r="L357" s="16">
        <f t="shared" si="58"/>
        <v>0</v>
      </c>
      <c r="M357" s="16">
        <f t="shared" si="59"/>
        <v>0</v>
      </c>
    </row>
    <row r="358" spans="1:13" ht="15">
      <c r="A358" s="17">
        <v>331</v>
      </c>
      <c r="B358" s="15">
        <f t="shared" si="51"/>
        <v>1048.1321081902602</v>
      </c>
      <c r="C358" s="15">
        <f t="shared" si="52"/>
        <v>184.40053762101903</v>
      </c>
      <c r="D358" s="15">
        <f t="shared" si="53"/>
        <v>32995.044067997871</v>
      </c>
      <c r="E358" s="16">
        <f t="shared" si="54"/>
        <v>162004.9559320019</v>
      </c>
      <c r="F358" s="16">
        <f t="shared" si="55"/>
        <v>245963.34983153135</v>
      </c>
      <c r="G358" s="1"/>
      <c r="H358" s="17">
        <v>331</v>
      </c>
      <c r="I358" s="15">
        <f t="shared" si="56"/>
        <v>0</v>
      </c>
      <c r="J358" s="15">
        <f t="shared" si="50"/>
        <v>0</v>
      </c>
      <c r="K358" s="15">
        <f t="shared" si="57"/>
        <v>0</v>
      </c>
      <c r="L358" s="16">
        <f t="shared" si="58"/>
        <v>0</v>
      </c>
      <c r="M358" s="16">
        <f t="shared" si="59"/>
        <v>0</v>
      </c>
    </row>
    <row r="359" spans="1:13" ht="15">
      <c r="A359" s="17">
        <v>332</v>
      </c>
      <c r="B359" s="15">
        <f t="shared" si="51"/>
        <v>1053.8094904429574</v>
      </c>
      <c r="C359" s="15">
        <f t="shared" si="52"/>
        <v>178.72315536832181</v>
      </c>
      <c r="D359" s="15">
        <f t="shared" si="53"/>
        <v>31941.234577554915</v>
      </c>
      <c r="E359" s="16">
        <f t="shared" si="54"/>
        <v>163058.76542244485</v>
      </c>
      <c r="F359" s="16">
        <f t="shared" si="55"/>
        <v>246142.07298689967</v>
      </c>
      <c r="G359" s="1"/>
      <c r="H359" s="17">
        <v>332</v>
      </c>
      <c r="I359" s="15">
        <f t="shared" si="56"/>
        <v>0</v>
      </c>
      <c r="J359" s="15">
        <f t="shared" si="50"/>
        <v>0</v>
      </c>
      <c r="K359" s="15">
        <f t="shared" si="57"/>
        <v>0</v>
      </c>
      <c r="L359" s="16">
        <f t="shared" si="58"/>
        <v>0</v>
      </c>
      <c r="M359" s="16">
        <f t="shared" si="59"/>
        <v>0</v>
      </c>
    </row>
    <row r="360" spans="1:13" ht="15">
      <c r="A360" s="17">
        <v>333</v>
      </c>
      <c r="B360" s="15">
        <f t="shared" si="51"/>
        <v>1059.5176251828568</v>
      </c>
      <c r="C360" s="15">
        <f t="shared" si="52"/>
        <v>173.01502062842246</v>
      </c>
      <c r="D360" s="15">
        <f t="shared" si="53"/>
        <v>30881.716952372059</v>
      </c>
      <c r="E360" s="16">
        <f t="shared" si="54"/>
        <v>164118.28304762772</v>
      </c>
      <c r="F360" s="16">
        <f t="shared" si="55"/>
        <v>246315.0880075281</v>
      </c>
      <c r="G360" s="1"/>
      <c r="H360" s="17">
        <v>333</v>
      </c>
      <c r="I360" s="15">
        <f t="shared" si="56"/>
        <v>0</v>
      </c>
      <c r="J360" s="15">
        <f t="shared" si="50"/>
        <v>0</v>
      </c>
      <c r="K360" s="15">
        <f t="shared" si="57"/>
        <v>0</v>
      </c>
      <c r="L360" s="16">
        <f t="shared" si="58"/>
        <v>0</v>
      </c>
      <c r="M360" s="16">
        <f t="shared" si="59"/>
        <v>0</v>
      </c>
    </row>
    <row r="361" spans="1:13" ht="15">
      <c r="A361" s="17">
        <v>334</v>
      </c>
      <c r="B361" s="15">
        <f t="shared" si="51"/>
        <v>1065.2566789859306</v>
      </c>
      <c r="C361" s="15">
        <f t="shared" si="52"/>
        <v>167.27596682534866</v>
      </c>
      <c r="D361" s="15">
        <f t="shared" si="53"/>
        <v>29816.460273386128</v>
      </c>
      <c r="E361" s="16">
        <f t="shared" si="54"/>
        <v>165183.53972661364</v>
      </c>
      <c r="F361" s="16">
        <f t="shared" si="55"/>
        <v>246482.36397435344</v>
      </c>
      <c r="G361" s="1"/>
      <c r="H361" s="17">
        <v>334</v>
      </c>
      <c r="I361" s="15">
        <f t="shared" si="56"/>
        <v>0</v>
      </c>
      <c r="J361" s="15">
        <f t="shared" si="50"/>
        <v>0</v>
      </c>
      <c r="K361" s="15">
        <f t="shared" si="57"/>
        <v>0</v>
      </c>
      <c r="L361" s="16">
        <f t="shared" si="58"/>
        <v>0</v>
      </c>
      <c r="M361" s="16">
        <f t="shared" si="59"/>
        <v>0</v>
      </c>
    </row>
    <row r="362" spans="1:13" ht="15">
      <c r="A362" s="17">
        <v>335</v>
      </c>
      <c r="B362" s="15">
        <f t="shared" si="51"/>
        <v>1071.0268193304378</v>
      </c>
      <c r="C362" s="15">
        <f t="shared" si="52"/>
        <v>161.50582648084153</v>
      </c>
      <c r="D362" s="15">
        <f t="shared" si="53"/>
        <v>28745.433454055692</v>
      </c>
      <c r="E362" s="16">
        <f t="shared" si="54"/>
        <v>166254.56654594408</v>
      </c>
      <c r="F362" s="16">
        <f t="shared" si="55"/>
        <v>246643.86980083428</v>
      </c>
      <c r="G362" s="1"/>
      <c r="H362" s="17">
        <v>335</v>
      </c>
      <c r="I362" s="15">
        <f t="shared" si="56"/>
        <v>0</v>
      </c>
      <c r="J362" s="15">
        <f t="shared" si="50"/>
        <v>0</v>
      </c>
      <c r="K362" s="15">
        <f t="shared" si="57"/>
        <v>0</v>
      </c>
      <c r="L362" s="16">
        <f t="shared" si="58"/>
        <v>0</v>
      </c>
      <c r="M362" s="16">
        <f t="shared" si="59"/>
        <v>0</v>
      </c>
    </row>
    <row r="363" spans="1:13" ht="15">
      <c r="A363" s="14" t="s">
        <v>58</v>
      </c>
      <c r="B363" s="15">
        <f t="shared" si="51"/>
        <v>1076.8282146018109</v>
      </c>
      <c r="C363" s="15">
        <f t="shared" si="52"/>
        <v>155.70443120946834</v>
      </c>
      <c r="D363" s="15">
        <f t="shared" si="53"/>
        <v>27668.605239453882</v>
      </c>
      <c r="E363" s="16">
        <f t="shared" si="54"/>
        <v>167331.3947605459</v>
      </c>
      <c r="F363" s="16">
        <f t="shared" si="55"/>
        <v>246799.57423204376</v>
      </c>
      <c r="G363" s="1"/>
      <c r="H363" s="14" t="s">
        <v>58</v>
      </c>
      <c r="I363" s="15">
        <f t="shared" si="56"/>
        <v>0</v>
      </c>
      <c r="J363" s="15">
        <f t="shared" si="50"/>
        <v>0</v>
      </c>
      <c r="K363" s="15">
        <f t="shared" si="57"/>
        <v>0</v>
      </c>
      <c r="L363" s="16">
        <f t="shared" si="58"/>
        <v>0</v>
      </c>
      <c r="M363" s="16">
        <f t="shared" si="59"/>
        <v>0</v>
      </c>
    </row>
    <row r="364" spans="1:13" ht="15">
      <c r="A364" s="17">
        <v>337</v>
      </c>
      <c r="B364" s="15">
        <f t="shared" si="51"/>
        <v>1082.6610340975708</v>
      </c>
      <c r="C364" s="15">
        <f t="shared" si="52"/>
        <v>149.87161171370855</v>
      </c>
      <c r="D364" s="15">
        <f t="shared" si="53"/>
        <v>26585.944205356311</v>
      </c>
      <c r="E364" s="16">
        <f t="shared" si="54"/>
        <v>168414.05579464347</v>
      </c>
      <c r="F364" s="16">
        <f t="shared" si="55"/>
        <v>246949.44584375748</v>
      </c>
      <c r="G364" s="1"/>
      <c r="H364" s="17">
        <v>337</v>
      </c>
      <c r="I364" s="15">
        <f t="shared" si="56"/>
        <v>0</v>
      </c>
      <c r="J364" s="15">
        <f t="shared" si="50"/>
        <v>0</v>
      </c>
      <c r="K364" s="15">
        <f t="shared" si="57"/>
        <v>0</v>
      </c>
      <c r="L364" s="16">
        <f t="shared" si="58"/>
        <v>0</v>
      </c>
      <c r="M364" s="16">
        <f t="shared" si="59"/>
        <v>0</v>
      </c>
    </row>
    <row r="365" spans="1:13" ht="15">
      <c r="A365" s="17">
        <v>338</v>
      </c>
      <c r="B365" s="15">
        <f t="shared" si="51"/>
        <v>1088.525448032266</v>
      </c>
      <c r="C365" s="15">
        <f t="shared" si="52"/>
        <v>144.00719777901335</v>
      </c>
      <c r="D365" s="15">
        <f t="shared" si="53"/>
        <v>25497.418757324045</v>
      </c>
      <c r="E365" s="16">
        <f t="shared" si="54"/>
        <v>169502.58124267575</v>
      </c>
      <c r="F365" s="16">
        <f t="shared" si="55"/>
        <v>247093.4530415365</v>
      </c>
      <c r="G365" s="1"/>
      <c r="H365" s="17">
        <v>338</v>
      </c>
      <c r="I365" s="15">
        <f t="shared" si="56"/>
        <v>0</v>
      </c>
      <c r="J365" s="15">
        <f t="shared" si="50"/>
        <v>0</v>
      </c>
      <c r="K365" s="15">
        <f t="shared" si="57"/>
        <v>0</v>
      </c>
      <c r="L365" s="16">
        <f t="shared" si="58"/>
        <v>0</v>
      </c>
      <c r="M365" s="16">
        <f t="shared" si="59"/>
        <v>0</v>
      </c>
    </row>
    <row r="366" spans="1:13" ht="15">
      <c r="A366" s="17">
        <v>339</v>
      </c>
      <c r="B366" s="15">
        <f t="shared" si="51"/>
        <v>1094.4216275424408</v>
      </c>
      <c r="C366" s="15">
        <f t="shared" si="52"/>
        <v>138.11101826883859</v>
      </c>
      <c r="D366" s="15">
        <f t="shared" si="53"/>
        <v>24402.997129781605</v>
      </c>
      <c r="E366" s="16">
        <f t="shared" si="54"/>
        <v>170597.00287021819</v>
      </c>
      <c r="F366" s="16">
        <f t="shared" si="55"/>
        <v>247231.56405980533</v>
      </c>
      <c r="G366" s="1"/>
      <c r="H366" s="17">
        <v>339</v>
      </c>
      <c r="I366" s="15">
        <f t="shared" si="56"/>
        <v>0</v>
      </c>
      <c r="J366" s="15">
        <f t="shared" si="50"/>
        <v>0</v>
      </c>
      <c r="K366" s="15">
        <f t="shared" si="57"/>
        <v>0</v>
      </c>
      <c r="L366" s="16">
        <f t="shared" si="58"/>
        <v>0</v>
      </c>
      <c r="M366" s="16">
        <f t="shared" si="59"/>
        <v>0</v>
      </c>
    </row>
    <row r="367" spans="1:13" ht="15">
      <c r="A367" s="17">
        <v>340</v>
      </c>
      <c r="B367" s="15">
        <f t="shared" si="51"/>
        <v>1100.349744691629</v>
      </c>
      <c r="C367" s="15">
        <f t="shared" si="52"/>
        <v>132.18290111965035</v>
      </c>
      <c r="D367" s="15">
        <f t="shared" si="53"/>
        <v>23302.647385089975</v>
      </c>
      <c r="E367" s="16">
        <f t="shared" si="54"/>
        <v>171697.35261490982</v>
      </c>
      <c r="F367" s="16">
        <f t="shared" si="55"/>
        <v>247363.74696092497</v>
      </c>
      <c r="G367" s="1"/>
      <c r="H367" s="17">
        <v>340</v>
      </c>
      <c r="I367" s="15">
        <f t="shared" si="56"/>
        <v>0</v>
      </c>
      <c r="J367" s="15">
        <f t="shared" si="50"/>
        <v>0</v>
      </c>
      <c r="K367" s="15">
        <f t="shared" si="57"/>
        <v>0</v>
      </c>
      <c r="L367" s="16">
        <f t="shared" si="58"/>
        <v>0</v>
      </c>
      <c r="M367" s="16">
        <f t="shared" si="59"/>
        <v>0</v>
      </c>
    </row>
    <row r="368" spans="1:13" ht="15">
      <c r="A368" s="17">
        <v>341</v>
      </c>
      <c r="B368" s="15">
        <f t="shared" si="51"/>
        <v>1106.3099724753752</v>
      </c>
      <c r="C368" s="15">
        <f t="shared" si="52"/>
        <v>126.22267333590403</v>
      </c>
      <c r="D368" s="15">
        <f t="shared" si="53"/>
        <v>22196.337412614601</v>
      </c>
      <c r="E368" s="16">
        <f t="shared" si="54"/>
        <v>172803.66258738519</v>
      </c>
      <c r="F368" s="16">
        <f t="shared" si="55"/>
        <v>247489.96963426087</v>
      </c>
      <c r="G368" s="1"/>
      <c r="H368" s="17">
        <v>341</v>
      </c>
      <c r="I368" s="15">
        <f t="shared" si="56"/>
        <v>0</v>
      </c>
      <c r="J368" s="15">
        <f t="shared" si="50"/>
        <v>0</v>
      </c>
      <c r="K368" s="15">
        <f t="shared" si="57"/>
        <v>0</v>
      </c>
      <c r="L368" s="16">
        <f t="shared" si="58"/>
        <v>0</v>
      </c>
      <c r="M368" s="16">
        <f t="shared" si="59"/>
        <v>0</v>
      </c>
    </row>
    <row r="369" spans="1:13" ht="15">
      <c r="A369" s="17">
        <v>342</v>
      </c>
      <c r="B369" s="15">
        <f t="shared" si="51"/>
        <v>1112.3024848262835</v>
      </c>
      <c r="C369" s="15">
        <f t="shared" si="52"/>
        <v>120.23016098499576</v>
      </c>
      <c r="D369" s="15">
        <f t="shared" si="53"/>
        <v>21084.034927788318</v>
      </c>
      <c r="E369" s="16">
        <f t="shared" si="54"/>
        <v>173915.96507221146</v>
      </c>
      <c r="F369" s="16">
        <f t="shared" si="55"/>
        <v>247610.19979524586</v>
      </c>
      <c r="G369" s="1"/>
      <c r="H369" s="17">
        <v>342</v>
      </c>
      <c r="I369" s="15">
        <f t="shared" si="56"/>
        <v>0</v>
      </c>
      <c r="J369" s="15">
        <f t="shared" si="50"/>
        <v>0</v>
      </c>
      <c r="K369" s="15">
        <f t="shared" si="57"/>
        <v>0</v>
      </c>
      <c r="L369" s="16">
        <f t="shared" si="58"/>
        <v>0</v>
      </c>
      <c r="M369" s="16">
        <f t="shared" si="59"/>
        <v>0</v>
      </c>
    </row>
    <row r="370" spans="1:13" ht="15">
      <c r="A370" s="17">
        <v>343</v>
      </c>
      <c r="B370" s="15">
        <f t="shared" si="51"/>
        <v>1118.3274566190926</v>
      </c>
      <c r="C370" s="15">
        <f t="shared" si="52"/>
        <v>114.20518919218672</v>
      </c>
      <c r="D370" s="15">
        <f t="shared" si="53"/>
        <v>19965.707471169226</v>
      </c>
      <c r="E370" s="16">
        <f t="shared" si="54"/>
        <v>175034.29252883056</v>
      </c>
      <c r="F370" s="16">
        <f t="shared" si="55"/>
        <v>247724.40498443804</v>
      </c>
      <c r="G370" s="1"/>
      <c r="H370" s="17">
        <v>343</v>
      </c>
      <c r="I370" s="15">
        <f t="shared" si="56"/>
        <v>0</v>
      </c>
      <c r="J370" s="15">
        <f t="shared" si="50"/>
        <v>0</v>
      </c>
      <c r="K370" s="15">
        <f t="shared" si="57"/>
        <v>0</v>
      </c>
      <c r="L370" s="16">
        <f t="shared" si="58"/>
        <v>0</v>
      </c>
      <c r="M370" s="16">
        <f t="shared" si="59"/>
        <v>0</v>
      </c>
    </row>
    <row r="371" spans="1:13" ht="15">
      <c r="A371" s="17">
        <v>344</v>
      </c>
      <c r="B371" s="15">
        <f t="shared" si="51"/>
        <v>1124.3850636757793</v>
      </c>
      <c r="C371" s="15">
        <f t="shared" si="52"/>
        <v>108.14758213549997</v>
      </c>
      <c r="D371" s="15">
        <f t="shared" si="53"/>
        <v>18841.322407493448</v>
      </c>
      <c r="E371" s="16">
        <f t="shared" si="54"/>
        <v>176158.67759250634</v>
      </c>
      <c r="F371" s="16">
        <f t="shared" si="55"/>
        <v>247832.55256657355</v>
      </c>
      <c r="G371" s="1"/>
      <c r="H371" s="17">
        <v>344</v>
      </c>
      <c r="I371" s="15">
        <f t="shared" si="56"/>
        <v>0</v>
      </c>
      <c r="J371" s="15">
        <f t="shared" si="50"/>
        <v>0</v>
      </c>
      <c r="K371" s="15">
        <f t="shared" si="57"/>
        <v>0</v>
      </c>
      <c r="L371" s="16">
        <f t="shared" si="58"/>
        <v>0</v>
      </c>
      <c r="M371" s="16">
        <f t="shared" si="59"/>
        <v>0</v>
      </c>
    </row>
    <row r="372" spans="1:13" ht="15">
      <c r="A372" s="17">
        <v>345</v>
      </c>
      <c r="B372" s="15">
        <f t="shared" si="51"/>
        <v>1130.4754827706897</v>
      </c>
      <c r="C372" s="15">
        <f t="shared" si="52"/>
        <v>102.05716304058951</v>
      </c>
      <c r="D372" s="15">
        <f t="shared" si="53"/>
        <v>17710.846924722759</v>
      </c>
      <c r="E372" s="16">
        <f t="shared" si="54"/>
        <v>177289.15307527702</v>
      </c>
      <c r="F372" s="16">
        <f t="shared" si="55"/>
        <v>247934.60972961414</v>
      </c>
      <c r="G372" s="1"/>
      <c r="H372" s="17">
        <v>345</v>
      </c>
      <c r="I372" s="15">
        <f t="shared" si="56"/>
        <v>0</v>
      </c>
      <c r="J372" s="15">
        <f t="shared" si="50"/>
        <v>0</v>
      </c>
      <c r="K372" s="15">
        <f t="shared" si="57"/>
        <v>0</v>
      </c>
      <c r="L372" s="16">
        <f t="shared" si="58"/>
        <v>0</v>
      </c>
      <c r="M372" s="16">
        <f t="shared" si="59"/>
        <v>0</v>
      </c>
    </row>
    <row r="373" spans="1:13" ht="15">
      <c r="A373" s="17">
        <v>346</v>
      </c>
      <c r="B373" s="15">
        <f t="shared" si="51"/>
        <v>1136.5988916356978</v>
      </c>
      <c r="C373" s="15">
        <f t="shared" si="52"/>
        <v>95.933754175581612</v>
      </c>
      <c r="D373" s="15">
        <f t="shared" si="53"/>
        <v>16574.24803308706</v>
      </c>
      <c r="E373" s="16">
        <f t="shared" si="54"/>
        <v>178425.75196691271</v>
      </c>
      <c r="F373" s="16">
        <f t="shared" si="55"/>
        <v>248030.54348378972</v>
      </c>
      <c r="G373" s="1"/>
      <c r="H373" s="17">
        <v>346</v>
      </c>
      <c r="I373" s="15">
        <f t="shared" si="56"/>
        <v>0</v>
      </c>
      <c r="J373" s="15">
        <f t="shared" si="50"/>
        <v>0</v>
      </c>
      <c r="K373" s="15">
        <f t="shared" si="57"/>
        <v>0</v>
      </c>
      <c r="L373" s="16">
        <f t="shared" si="58"/>
        <v>0</v>
      </c>
      <c r="M373" s="16">
        <f t="shared" si="59"/>
        <v>0</v>
      </c>
    </row>
    <row r="374" spans="1:13" ht="15">
      <c r="A374" s="17">
        <v>347</v>
      </c>
      <c r="B374" s="15">
        <f t="shared" si="51"/>
        <v>1142.7554689653909</v>
      </c>
      <c r="C374" s="15">
        <f t="shared" si="52"/>
        <v>89.777176845888249</v>
      </c>
      <c r="D374" s="15">
        <f t="shared" si="53"/>
        <v>15431.492564121669</v>
      </c>
      <c r="E374" s="16">
        <f t="shared" si="54"/>
        <v>179568.5074358781</v>
      </c>
      <c r="F374" s="16">
        <f t="shared" si="55"/>
        <v>248120.3206606356</v>
      </c>
      <c r="G374" s="1"/>
      <c r="H374" s="17">
        <v>347</v>
      </c>
      <c r="I374" s="15">
        <f t="shared" si="56"/>
        <v>0</v>
      </c>
      <c r="J374" s="15">
        <f t="shared" si="50"/>
        <v>0</v>
      </c>
      <c r="K374" s="15">
        <f t="shared" si="57"/>
        <v>0</v>
      </c>
      <c r="L374" s="16">
        <f t="shared" si="58"/>
        <v>0</v>
      </c>
      <c r="M374" s="16">
        <f t="shared" si="59"/>
        <v>0</v>
      </c>
    </row>
    <row r="375" spans="1:13" ht="15">
      <c r="A375" s="14" t="s">
        <v>59</v>
      </c>
      <c r="B375" s="15">
        <f t="shared" si="51"/>
        <v>1148.9453944222869</v>
      </c>
      <c r="C375" s="15">
        <f t="shared" si="52"/>
        <v>83.587251388992371</v>
      </c>
      <c r="D375" s="15">
        <f t="shared" si="53"/>
        <v>14282.547169699381</v>
      </c>
      <c r="E375" s="16">
        <f t="shared" si="54"/>
        <v>180717.45283030038</v>
      </c>
      <c r="F375" s="16">
        <f t="shared" si="55"/>
        <v>248203.90791202459</v>
      </c>
      <c r="G375" s="1"/>
      <c r="H375" s="14" t="s">
        <v>59</v>
      </c>
      <c r="I375" s="15">
        <f t="shared" si="56"/>
        <v>0</v>
      </c>
      <c r="J375" s="15">
        <f t="shared" si="50"/>
        <v>0</v>
      </c>
      <c r="K375" s="15">
        <f t="shared" si="57"/>
        <v>0</v>
      </c>
      <c r="L375" s="16">
        <f t="shared" si="58"/>
        <v>0</v>
      </c>
      <c r="M375" s="16">
        <f t="shared" si="59"/>
        <v>0</v>
      </c>
    </row>
    <row r="376" spans="1:13" ht="15">
      <c r="A376" s="17">
        <v>349</v>
      </c>
      <c r="B376" s="15">
        <f t="shared" si="51"/>
        <v>1155.1688486420744</v>
      </c>
      <c r="C376" s="15">
        <f t="shared" si="52"/>
        <v>77.363797169204986</v>
      </c>
      <c r="D376" s="15">
        <f t="shared" si="53"/>
        <v>13127.378321057306</v>
      </c>
      <c r="E376" s="16">
        <f t="shared" si="54"/>
        <v>181872.62167894244</v>
      </c>
      <c r="F376" s="16">
        <f t="shared" si="55"/>
        <v>248281.2717091938</v>
      </c>
      <c r="G376" s="1"/>
      <c r="H376" s="17">
        <v>349</v>
      </c>
      <c r="I376" s="15">
        <f t="shared" si="56"/>
        <v>0</v>
      </c>
      <c r="J376" s="15">
        <f t="shared" si="50"/>
        <v>0</v>
      </c>
      <c r="K376" s="15">
        <f t="shared" si="57"/>
        <v>0</v>
      </c>
      <c r="L376" s="16">
        <f t="shared" si="58"/>
        <v>0</v>
      </c>
      <c r="M376" s="16">
        <f t="shared" si="59"/>
        <v>0</v>
      </c>
    </row>
    <row r="377" spans="1:13" ht="15">
      <c r="A377" s="17">
        <v>350</v>
      </c>
      <c r="B377" s="15">
        <f t="shared" si="51"/>
        <v>1161.4260132388856</v>
      </c>
      <c r="C377" s="15">
        <f t="shared" si="52"/>
        <v>71.106632572393735</v>
      </c>
      <c r="D377" s="15">
        <f t="shared" si="53"/>
        <v>11965.952307818419</v>
      </c>
      <c r="E377" s="16">
        <f t="shared" si="54"/>
        <v>183034.04769218131</v>
      </c>
      <c r="F377" s="16">
        <f t="shared" si="55"/>
        <v>248352.37834176619</v>
      </c>
      <c r="G377" s="1"/>
      <c r="H377" s="17">
        <v>350</v>
      </c>
      <c r="I377" s="15">
        <f t="shared" si="56"/>
        <v>0</v>
      </c>
      <c r="J377" s="15">
        <f t="shared" si="50"/>
        <v>0</v>
      </c>
      <c r="K377" s="15">
        <f t="shared" si="57"/>
        <v>0</v>
      </c>
      <c r="L377" s="16">
        <f t="shared" si="58"/>
        <v>0</v>
      </c>
      <c r="M377" s="16">
        <f t="shared" si="59"/>
        <v>0</v>
      </c>
    </row>
    <row r="378" spans="1:13" ht="15">
      <c r="A378" s="17">
        <v>351</v>
      </c>
      <c r="B378" s="15">
        <f t="shared" si="51"/>
        <v>1167.7170708105962</v>
      </c>
      <c r="C378" s="15">
        <f t="shared" si="52"/>
        <v>64.815575000683111</v>
      </c>
      <c r="D378" s="15">
        <f t="shared" si="53"/>
        <v>10798.235237007822</v>
      </c>
      <c r="E378" s="16">
        <f t="shared" si="54"/>
        <v>184201.76476299189</v>
      </c>
      <c r="F378" s="16">
        <f t="shared" si="55"/>
        <v>248417.19391676688</v>
      </c>
      <c r="G378" s="1"/>
      <c r="H378" s="17">
        <v>351</v>
      </c>
      <c r="I378" s="15">
        <f t="shared" si="56"/>
        <v>0</v>
      </c>
      <c r="J378" s="15">
        <f t="shared" si="50"/>
        <v>0</v>
      </c>
      <c r="K378" s="15">
        <f t="shared" si="57"/>
        <v>0</v>
      </c>
      <c r="L378" s="16">
        <f t="shared" si="58"/>
        <v>0</v>
      </c>
      <c r="M378" s="16">
        <f t="shared" si="59"/>
        <v>0</v>
      </c>
    </row>
    <row r="379" spans="1:13" ht="15">
      <c r="A379" s="17">
        <v>352</v>
      </c>
      <c r="B379" s="15">
        <f t="shared" si="51"/>
        <v>1174.0422049441536</v>
      </c>
      <c r="C379" s="15">
        <f t="shared" si="52"/>
        <v>58.490440867125706</v>
      </c>
      <c r="D379" s="15">
        <f t="shared" si="53"/>
        <v>9624.1930320636693</v>
      </c>
      <c r="E379" s="16">
        <f t="shared" si="54"/>
        <v>185375.80696793605</v>
      </c>
      <c r="F379" s="16">
        <f t="shared" si="55"/>
        <v>248475.68435763399</v>
      </c>
      <c r="G379" s="1"/>
      <c r="H379" s="17">
        <v>352</v>
      </c>
      <c r="I379" s="15">
        <f t="shared" si="56"/>
        <v>0</v>
      </c>
      <c r="J379" s="15">
        <f t="shared" si="50"/>
        <v>0</v>
      </c>
      <c r="K379" s="15">
        <f t="shared" si="57"/>
        <v>0</v>
      </c>
      <c r="L379" s="16">
        <f t="shared" si="58"/>
        <v>0</v>
      </c>
      <c r="M379" s="16">
        <f t="shared" si="59"/>
        <v>0</v>
      </c>
    </row>
    <row r="380" spans="1:13" ht="15">
      <c r="A380" s="17">
        <v>353</v>
      </c>
      <c r="B380" s="15">
        <f t="shared" si="51"/>
        <v>1180.4016002209344</v>
      </c>
      <c r="C380" s="15">
        <f t="shared" si="52"/>
        <v>52.131045590344876</v>
      </c>
      <c r="D380" s="15">
        <f t="shared" si="53"/>
        <v>8443.7914318427356</v>
      </c>
      <c r="E380" s="16">
        <f t="shared" si="54"/>
        <v>186556.20856815699</v>
      </c>
      <c r="F380" s="16">
        <f t="shared" si="55"/>
        <v>248527.81540322435</v>
      </c>
      <c r="G380" s="1"/>
      <c r="H380" s="17">
        <v>353</v>
      </c>
      <c r="I380" s="15">
        <f t="shared" si="56"/>
        <v>0</v>
      </c>
      <c r="J380" s="15">
        <f t="shared" si="50"/>
        <v>0</v>
      </c>
      <c r="K380" s="15">
        <f t="shared" si="57"/>
        <v>0</v>
      </c>
      <c r="L380" s="16">
        <f t="shared" si="58"/>
        <v>0</v>
      </c>
      <c r="M380" s="16">
        <f t="shared" si="59"/>
        <v>0</v>
      </c>
    </row>
    <row r="381" spans="1:13" ht="15">
      <c r="A381" s="17">
        <v>354</v>
      </c>
      <c r="B381" s="15">
        <f t="shared" si="51"/>
        <v>1186.7954422221312</v>
      </c>
      <c r="C381" s="15">
        <f t="shared" si="52"/>
        <v>45.737203589148152</v>
      </c>
      <c r="D381" s="15">
        <f t="shared" si="53"/>
        <v>7256.9959896206046</v>
      </c>
      <c r="E381" s="16">
        <f t="shared" si="54"/>
        <v>187743.00401037911</v>
      </c>
      <c r="F381" s="16">
        <f t="shared" si="55"/>
        <v>248573.55260681349</v>
      </c>
      <c r="G381" s="1"/>
      <c r="H381" s="17">
        <v>354</v>
      </c>
      <c r="I381" s="15">
        <f t="shared" si="56"/>
        <v>0</v>
      </c>
      <c r="J381" s="15">
        <f t="shared" si="50"/>
        <v>0</v>
      </c>
      <c r="K381" s="15">
        <f t="shared" si="57"/>
        <v>0</v>
      </c>
      <c r="L381" s="16">
        <f t="shared" si="58"/>
        <v>0</v>
      </c>
      <c r="M381" s="16">
        <f t="shared" si="59"/>
        <v>0</v>
      </c>
    </row>
    <row r="382" spans="1:13" ht="15">
      <c r="A382" s="17">
        <v>355</v>
      </c>
      <c r="B382" s="15">
        <f t="shared" si="51"/>
        <v>1193.2239175341676</v>
      </c>
      <c r="C382" s="15">
        <f t="shared" si="52"/>
        <v>39.308728277111612</v>
      </c>
      <c r="D382" s="15">
        <f t="shared" si="53"/>
        <v>6063.7720720864372</v>
      </c>
      <c r="E382" s="16">
        <f t="shared" si="54"/>
        <v>188936.22792791328</v>
      </c>
      <c r="F382" s="16">
        <f t="shared" si="55"/>
        <v>248612.86133509059</v>
      </c>
      <c r="G382" s="1"/>
      <c r="H382" s="17">
        <v>355</v>
      </c>
      <c r="I382" s="15">
        <f t="shared" si="56"/>
        <v>0</v>
      </c>
      <c r="J382" s="15">
        <f t="shared" si="50"/>
        <v>0</v>
      </c>
      <c r="K382" s="15">
        <f t="shared" si="57"/>
        <v>0</v>
      </c>
      <c r="L382" s="16">
        <f t="shared" si="58"/>
        <v>0</v>
      </c>
      <c r="M382" s="16">
        <f t="shared" si="59"/>
        <v>0</v>
      </c>
    </row>
    <row r="383" spans="1:13" ht="15">
      <c r="A383" s="17">
        <v>356</v>
      </c>
      <c r="B383" s="15">
        <f t="shared" si="51"/>
        <v>1199.6872137541445</v>
      </c>
      <c r="C383" s="15">
        <f t="shared" si="52"/>
        <v>32.845432057134872</v>
      </c>
      <c r="D383" s="15">
        <f t="shared" si="53"/>
        <v>4864.0848583322932</v>
      </c>
      <c r="E383" s="16">
        <f t="shared" si="54"/>
        <v>190135.91514166741</v>
      </c>
      <c r="F383" s="16">
        <f t="shared" si="55"/>
        <v>248645.70676714773</v>
      </c>
      <c r="G383" s="1"/>
      <c r="H383" s="17">
        <v>356</v>
      </c>
      <c r="I383" s="15">
        <f t="shared" si="56"/>
        <v>0</v>
      </c>
      <c r="J383" s="15">
        <f t="shared" si="50"/>
        <v>0</v>
      </c>
      <c r="K383" s="15">
        <f t="shared" si="57"/>
        <v>0</v>
      </c>
      <c r="L383" s="16">
        <f t="shared" si="58"/>
        <v>0</v>
      </c>
      <c r="M383" s="16">
        <f t="shared" si="59"/>
        <v>0</v>
      </c>
    </row>
    <row r="384" spans="1:13" ht="15">
      <c r="A384" s="17">
        <v>357</v>
      </c>
      <c r="B384" s="15">
        <f t="shared" si="51"/>
        <v>1206.1855194953127</v>
      </c>
      <c r="C384" s="15">
        <f t="shared" si="52"/>
        <v>26.347126315966587</v>
      </c>
      <c r="D384" s="15">
        <f t="shared" si="53"/>
        <v>3657.8993388369804</v>
      </c>
      <c r="E384" s="16">
        <f t="shared" si="54"/>
        <v>191342.10066116272</v>
      </c>
      <c r="F384" s="16">
        <f t="shared" si="55"/>
        <v>248672.05389346369</v>
      </c>
      <c r="G384" s="1"/>
      <c r="H384" s="17">
        <v>357</v>
      </c>
      <c r="I384" s="15">
        <f t="shared" si="56"/>
        <v>0</v>
      </c>
      <c r="J384" s="15">
        <f t="shared" si="50"/>
        <v>0</v>
      </c>
      <c r="K384" s="15">
        <f t="shared" si="57"/>
        <v>0</v>
      </c>
      <c r="L384" s="16">
        <f t="shared" si="58"/>
        <v>0</v>
      </c>
      <c r="M384" s="16">
        <f t="shared" si="59"/>
        <v>0</v>
      </c>
    </row>
    <row r="385" spans="1:13" ht="15">
      <c r="A385" s="17">
        <v>358</v>
      </c>
      <c r="B385" s="15">
        <f t="shared" si="51"/>
        <v>1212.7190243925791</v>
      </c>
      <c r="C385" s="15">
        <f t="shared" si="52"/>
        <v>19.813621418700311</v>
      </c>
      <c r="D385" s="15">
        <f t="shared" si="53"/>
        <v>2445.1803144444011</v>
      </c>
      <c r="E385" s="16">
        <f t="shared" si="54"/>
        <v>192554.8196855553</v>
      </c>
      <c r="F385" s="16">
        <f t="shared" si="55"/>
        <v>248691.86751488238</v>
      </c>
      <c r="G385" s="1"/>
      <c r="H385" s="17">
        <v>358</v>
      </c>
      <c r="I385" s="15">
        <f t="shared" si="56"/>
        <v>0</v>
      </c>
      <c r="J385" s="15">
        <f t="shared" si="50"/>
        <v>0</v>
      </c>
      <c r="K385" s="15">
        <f t="shared" si="57"/>
        <v>0</v>
      </c>
      <c r="L385" s="16">
        <f t="shared" si="58"/>
        <v>0</v>
      </c>
      <c r="M385" s="16">
        <f t="shared" si="59"/>
        <v>0</v>
      </c>
    </row>
    <row r="386" spans="1:13" ht="15">
      <c r="A386" s="17">
        <v>359</v>
      </c>
      <c r="B386" s="15">
        <f t="shared" si="51"/>
        <v>1219.2879191080387</v>
      </c>
      <c r="C386" s="15">
        <f t="shared" si="52"/>
        <v>13.244726703240506</v>
      </c>
      <c r="D386" s="15">
        <f t="shared" si="53"/>
        <v>1225.8923953363624</v>
      </c>
      <c r="E386" s="16">
        <f t="shared" si="54"/>
        <v>193774.10760466332</v>
      </c>
      <c r="F386" s="16">
        <f t="shared" si="55"/>
        <v>248705.11224158562</v>
      </c>
      <c r="G386" s="1"/>
      <c r="H386" s="17">
        <v>359</v>
      </c>
      <c r="I386" s="15">
        <f t="shared" si="56"/>
        <v>0</v>
      </c>
      <c r="J386" s="15">
        <f t="shared" si="50"/>
        <v>0</v>
      </c>
      <c r="K386" s="15">
        <f t="shared" si="57"/>
        <v>0</v>
      </c>
      <c r="L386" s="16">
        <f t="shared" si="58"/>
        <v>0</v>
      </c>
      <c r="M386" s="16">
        <f t="shared" si="59"/>
        <v>0</v>
      </c>
    </row>
    <row r="387" spans="1:13" ht="15">
      <c r="A387" s="14" t="s">
        <v>60</v>
      </c>
      <c r="B387" s="15">
        <f>IF(D386&lt;=0,0,SUM($B$12-C387))</f>
        <v>1225.8923953365406</v>
      </c>
      <c r="C387" s="15">
        <f>SUM(D386*(RATE/12))</f>
        <v>6.6402504747386297</v>
      </c>
      <c r="D387" s="15">
        <f>IF(SUM(D386-B387-$B$14)&lt;=0,0,SUM(D386-B387-$B$14))</f>
        <v>0</v>
      </c>
      <c r="E387" s="16">
        <f>IF($D386&lt;=0,0,SUM(B387,E386,$B$15))</f>
        <v>194999.99999999985</v>
      </c>
      <c r="F387" s="16">
        <f>IF($D386&lt;=0,0,SUM(C387,F386))</f>
        <v>248711.75249206036</v>
      </c>
      <c r="H387" s="14" t="s">
        <v>60</v>
      </c>
      <c r="I387" s="15">
        <f t="shared" si="56"/>
        <v>0</v>
      </c>
      <c r="J387" s="15">
        <f t="shared" si="50"/>
        <v>0</v>
      </c>
      <c r="K387" s="15">
        <f t="shared" si="57"/>
        <v>0</v>
      </c>
      <c r="L387" s="16">
        <f t="shared" si="58"/>
        <v>0</v>
      </c>
      <c r="M387" s="16">
        <f t="shared" si="59"/>
        <v>0</v>
      </c>
    </row>
    <row r="388" spans="1:13" ht="15">
      <c r="B388" s="15">
        <f>IF(D387&lt;=0,0,SUM($B$12-C388))</f>
        <v>0</v>
      </c>
      <c r="C388" s="15">
        <f>SUM(D387*(RATE/12))</f>
        <v>0</v>
      </c>
      <c r="D388" s="15">
        <f>IF(SUM(D387-B388-$B$14)&lt;=0,0,SUM(D387-B388-$B$14))</f>
        <v>0</v>
      </c>
      <c r="E388" s="16">
        <f>IF($D387&lt;=0,0,SUM(B388,E387,$B$15))</f>
        <v>0</v>
      </c>
      <c r="F388" s="16">
        <f>IF($D387&lt;=0,0,SUM(C388,F387))</f>
        <v>0</v>
      </c>
      <c r="I388" s="15">
        <f>IF(K387&lt;=0,0,SUM($E$12-J388))</f>
        <v>0</v>
      </c>
      <c r="J388" s="15">
        <f t="shared" si="50"/>
        <v>0</v>
      </c>
      <c r="K388" s="15">
        <f>IF(SUM(K387-I388-$E$14)&lt;=0,0,SUM(K387-I388-$E$14))</f>
        <v>0</v>
      </c>
      <c r="L388" s="16">
        <f>IF($K387&lt;=0,0,SUM(I388,L387,$E$14))</f>
        <v>0</v>
      </c>
      <c r="M388" s="16">
        <f>IF($K387&lt;=0,0,SUM(J388,M387))</f>
        <v>0</v>
      </c>
    </row>
    <row r="389" spans="1:13" ht="15">
      <c r="B389" s="15"/>
      <c r="C389" s="15"/>
      <c r="D389" s="15"/>
      <c r="E389" s="16"/>
      <c r="F389" s="16"/>
    </row>
    <row r="390" spans="1:13" ht="15">
      <c r="B390" s="15"/>
      <c r="C390" s="15"/>
      <c r="D390" s="15"/>
      <c r="E390" s="16"/>
      <c r="F390" s="16"/>
    </row>
    <row r="393" spans="1:13">
      <c r="F393" s="21"/>
    </row>
  </sheetData>
  <sheetProtection sheet="1" objects="1" scenarios="1"/>
  <phoneticPr fontId="0" type="noConversion"/>
  <pageMargins left="0.75" right="0.75" top="1" bottom="1" header="0.5" footer="0.5"/>
  <pageSetup fitToWidth="0" fitToHeight="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2.75"/>
  <cols>
    <col min="1" max="256" width="8.85546875" customWidth="1"/>
  </cols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2.75"/>
  <cols>
    <col min="1" max="256" width="8.85546875" customWidth="1"/>
  </cols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62B7302AF89D4596B5EF74A7CD7645" ma:contentTypeVersion="0" ma:contentTypeDescription="Create a new document." ma:contentTypeScope="" ma:versionID="51d4d658ad1eff805ca312344f69815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53A0D0-271E-4B89-9744-714A400F124E}"/>
</file>

<file path=customXml/itemProps2.xml><?xml version="1.0" encoding="utf-8"?>
<ds:datastoreItem xmlns:ds="http://schemas.openxmlformats.org/officeDocument/2006/customXml" ds:itemID="{92CD1771-DDDA-4CBC-8B46-5CE78725F806}"/>
</file>

<file path=customXml/itemProps3.xml><?xml version="1.0" encoding="utf-8"?>
<ds:datastoreItem xmlns:ds="http://schemas.openxmlformats.org/officeDocument/2006/customXml" ds:itemID="{0C42971A-DB3D-4095-BBDB-61DF8DC8F0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Quicken Loans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Quicken Loans</dc:creator>
  <cp:keywords/>
  <dc:description/>
  <cp:lastModifiedBy/>
  <cp:revision/>
  <dcterms:created xsi:type="dcterms:W3CDTF">2008-03-13T23:30:14Z</dcterms:created>
  <dcterms:modified xsi:type="dcterms:W3CDTF">2026-07-22T21:05:22Z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ec6349-d863-49be-850f-3dd178f15865_Enabled">
    <vt:lpwstr>true</vt:lpwstr>
  </property>
  <property fmtid="{D5CDD505-2E9C-101B-9397-08002B2CF9AE}" pid="3" name="MSIP_Label_ccec6349-d863-49be-850f-3dd178f15865_SetDate">
    <vt:lpwstr>2024-12-13T15:15:20Z</vt:lpwstr>
  </property>
  <property fmtid="{D5CDD505-2E9C-101B-9397-08002B2CF9AE}" pid="4" name="MSIP_Label_ccec6349-d863-49be-850f-3dd178f15865_Method">
    <vt:lpwstr>Standard</vt:lpwstr>
  </property>
  <property fmtid="{D5CDD505-2E9C-101B-9397-08002B2CF9AE}" pid="5" name="MSIP_Label_ccec6349-d863-49be-850f-3dd178f15865_Name">
    <vt:lpwstr>No Protection</vt:lpwstr>
  </property>
  <property fmtid="{D5CDD505-2E9C-101B-9397-08002B2CF9AE}" pid="6" name="MSIP_Label_ccec6349-d863-49be-850f-3dd178f15865_SiteId">
    <vt:lpwstr>172b80b9-807e-41f1-b9dc-f2405905520c</vt:lpwstr>
  </property>
  <property fmtid="{D5CDD505-2E9C-101B-9397-08002B2CF9AE}" pid="7" name="MSIP_Label_ccec6349-d863-49be-850f-3dd178f15865_ActionId">
    <vt:lpwstr>0504117f-dd70-4406-9c4f-fd940bc211e3</vt:lpwstr>
  </property>
  <property fmtid="{D5CDD505-2E9C-101B-9397-08002B2CF9AE}" pid="8" name="MSIP_Label_ccec6349-d863-49be-850f-3dd178f15865_ContentBits">
    <vt:lpwstr>0</vt:lpwstr>
  </property>
  <property fmtid="{D5CDD505-2E9C-101B-9397-08002B2CF9AE}" pid="9" name="ContentTypeId">
    <vt:lpwstr>0x0101007B62B7302AF89D4596B5EF74A7CD7645</vt:lpwstr>
  </property>
</Properties>
</file>